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1E76A561-735D-4091-950A-A31F6A1422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imulad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9" i="2" l="1"/>
  <c r="Q18" i="2"/>
  <c r="Q19" i="2"/>
  <c r="Q20" i="2"/>
  <c r="Q21" i="2"/>
  <c r="O32" i="2"/>
  <c r="P32" i="2"/>
  <c r="Q32" i="2"/>
  <c r="R32" i="2"/>
  <c r="S32" i="2"/>
  <c r="T32" i="2"/>
  <c r="U32" i="2"/>
  <c r="N32" i="2"/>
  <c r="H48" i="2"/>
  <c r="J48" i="2" s="1"/>
  <c r="U5" i="2" s="1"/>
  <c r="H49" i="2"/>
  <c r="J49" i="2" s="1"/>
  <c r="U6" i="2" s="1"/>
  <c r="H50" i="2"/>
  <c r="J50" i="2" s="1"/>
  <c r="U7" i="2" s="1"/>
  <c r="H51" i="2"/>
  <c r="J51" i="2" s="1"/>
  <c r="U8" i="2" s="1"/>
  <c r="H52" i="2"/>
  <c r="J52" i="2" s="1"/>
  <c r="U9" i="2" s="1"/>
  <c r="H53" i="2"/>
  <c r="J53" i="2" s="1"/>
  <c r="U10" i="2" s="1"/>
  <c r="H54" i="2"/>
  <c r="J54" i="2" s="1"/>
  <c r="U11" i="2" s="1"/>
  <c r="H55" i="2"/>
  <c r="J55" i="2" s="1"/>
  <c r="U12" i="2" s="1"/>
  <c r="H56" i="2"/>
  <c r="J56" i="2" s="1"/>
  <c r="U13" i="2" s="1"/>
  <c r="H57" i="2"/>
  <c r="J57" i="2" s="1"/>
  <c r="U14" i="2" s="1"/>
  <c r="H47" i="2"/>
  <c r="J47" i="2" s="1"/>
  <c r="U4" i="2" s="1"/>
  <c r="C48" i="2"/>
  <c r="E48" i="2" s="1"/>
  <c r="Q5" i="2" s="1"/>
  <c r="C49" i="2"/>
  <c r="E49" i="2" s="1"/>
  <c r="Q6" i="2" s="1"/>
  <c r="C50" i="2"/>
  <c r="E50" i="2" s="1"/>
  <c r="Q7" i="2" s="1"/>
  <c r="C51" i="2"/>
  <c r="E51" i="2" s="1"/>
  <c r="Q8" i="2" s="1"/>
  <c r="C52" i="2"/>
  <c r="E52" i="2" s="1"/>
  <c r="Q9" i="2" s="1"/>
  <c r="C53" i="2"/>
  <c r="E53" i="2" s="1"/>
  <c r="Q10" i="2" s="1"/>
  <c r="C54" i="2"/>
  <c r="E54" i="2" s="1"/>
  <c r="Q11" i="2" s="1"/>
  <c r="C55" i="2"/>
  <c r="E55" i="2" s="1"/>
  <c r="Q12" i="2" s="1"/>
  <c r="C56" i="2"/>
  <c r="E56" i="2" s="1"/>
  <c r="Q13" i="2" s="1"/>
  <c r="C57" i="2"/>
  <c r="E57" i="2" s="1"/>
  <c r="Q14" i="2" s="1"/>
  <c r="C47" i="2"/>
  <c r="E47" i="2" s="1"/>
  <c r="Q4" i="2" s="1"/>
  <c r="H34" i="2"/>
  <c r="J34" i="2" s="1"/>
  <c r="T5" i="2" s="1"/>
  <c r="H35" i="2"/>
  <c r="J35" i="2" s="1"/>
  <c r="T6" i="2" s="1"/>
  <c r="H36" i="2"/>
  <c r="J36" i="2" s="1"/>
  <c r="T7" i="2" s="1"/>
  <c r="H37" i="2"/>
  <c r="J37" i="2" s="1"/>
  <c r="T8" i="2" s="1"/>
  <c r="H38" i="2"/>
  <c r="J38" i="2" s="1"/>
  <c r="T9" i="2" s="1"/>
  <c r="H39" i="2"/>
  <c r="J39" i="2" s="1"/>
  <c r="T10" i="2" s="1"/>
  <c r="H40" i="2"/>
  <c r="J40" i="2" s="1"/>
  <c r="T11" i="2" s="1"/>
  <c r="H41" i="2"/>
  <c r="J41" i="2" s="1"/>
  <c r="T12" i="2" s="1"/>
  <c r="H42" i="2"/>
  <c r="J42" i="2" s="1"/>
  <c r="T13" i="2" s="1"/>
  <c r="H43" i="2"/>
  <c r="J43" i="2" s="1"/>
  <c r="T14" i="2" s="1"/>
  <c r="H33" i="2"/>
  <c r="J33" i="2" s="1"/>
  <c r="T4" i="2" s="1"/>
  <c r="C34" i="2"/>
  <c r="E34" i="2" s="1"/>
  <c r="P5" i="2" s="1"/>
  <c r="C35" i="2"/>
  <c r="E35" i="2" s="1"/>
  <c r="P6" i="2" s="1"/>
  <c r="C36" i="2"/>
  <c r="E36" i="2" s="1"/>
  <c r="P7" i="2" s="1"/>
  <c r="C37" i="2"/>
  <c r="E37" i="2" s="1"/>
  <c r="P8" i="2" s="1"/>
  <c r="C38" i="2"/>
  <c r="E38" i="2" s="1"/>
  <c r="P9" i="2" s="1"/>
  <c r="C39" i="2"/>
  <c r="E39" i="2" s="1"/>
  <c r="P10" i="2" s="1"/>
  <c r="C40" i="2"/>
  <c r="E40" i="2" s="1"/>
  <c r="P11" i="2" s="1"/>
  <c r="C41" i="2"/>
  <c r="E41" i="2" s="1"/>
  <c r="P12" i="2" s="1"/>
  <c r="C42" i="2"/>
  <c r="E42" i="2" s="1"/>
  <c r="P13" i="2" s="1"/>
  <c r="C43" i="2"/>
  <c r="E43" i="2" s="1"/>
  <c r="P14" i="2" s="1"/>
  <c r="C33" i="2"/>
  <c r="E33" i="2" s="1"/>
  <c r="P4" i="2" s="1"/>
  <c r="H20" i="2"/>
  <c r="J20" i="2" s="1"/>
  <c r="S5" i="2" s="1"/>
  <c r="H21" i="2"/>
  <c r="J21" i="2" s="1"/>
  <c r="S6" i="2" s="1"/>
  <c r="H22" i="2"/>
  <c r="J22" i="2" s="1"/>
  <c r="S7" i="2" s="1"/>
  <c r="H23" i="2"/>
  <c r="J23" i="2" s="1"/>
  <c r="S8" i="2" s="1"/>
  <c r="H24" i="2"/>
  <c r="J24" i="2" s="1"/>
  <c r="S9" i="2" s="1"/>
  <c r="H25" i="2"/>
  <c r="J25" i="2" s="1"/>
  <c r="S10" i="2" s="1"/>
  <c r="H26" i="2"/>
  <c r="J26" i="2" s="1"/>
  <c r="S11" i="2" s="1"/>
  <c r="H27" i="2"/>
  <c r="J27" i="2" s="1"/>
  <c r="S12" i="2" s="1"/>
  <c r="H28" i="2"/>
  <c r="J28" i="2" s="1"/>
  <c r="S13" i="2" s="1"/>
  <c r="H29" i="2"/>
  <c r="J29" i="2" s="1"/>
  <c r="S14" i="2" s="1"/>
  <c r="H19" i="2"/>
  <c r="J19" i="2" s="1"/>
  <c r="S4" i="2" s="1"/>
  <c r="C20" i="2"/>
  <c r="E20" i="2" s="1"/>
  <c r="O5" i="2" s="1"/>
  <c r="C21" i="2"/>
  <c r="E21" i="2" s="1"/>
  <c r="O6" i="2" s="1"/>
  <c r="C22" i="2"/>
  <c r="E22" i="2" s="1"/>
  <c r="O7" i="2" s="1"/>
  <c r="C23" i="2"/>
  <c r="E23" i="2" s="1"/>
  <c r="O8" i="2" s="1"/>
  <c r="C24" i="2"/>
  <c r="E24" i="2" s="1"/>
  <c r="O9" i="2" s="1"/>
  <c r="C25" i="2"/>
  <c r="E25" i="2" s="1"/>
  <c r="O10" i="2" s="1"/>
  <c r="C26" i="2"/>
  <c r="E26" i="2" s="1"/>
  <c r="O11" i="2" s="1"/>
  <c r="C27" i="2"/>
  <c r="E27" i="2" s="1"/>
  <c r="O12" i="2" s="1"/>
  <c r="C28" i="2"/>
  <c r="E28" i="2" s="1"/>
  <c r="O13" i="2" s="1"/>
  <c r="C29" i="2"/>
  <c r="E29" i="2" s="1"/>
  <c r="O14" i="2" s="1"/>
  <c r="C19" i="2"/>
  <c r="E19" i="2" s="1"/>
  <c r="O4" i="2" s="1"/>
  <c r="H6" i="2"/>
  <c r="J6" i="2" s="1"/>
  <c r="R5" i="2" s="1"/>
  <c r="H7" i="2"/>
  <c r="J7" i="2" s="1"/>
  <c r="R6" i="2" s="1"/>
  <c r="H8" i="2"/>
  <c r="J8" i="2" s="1"/>
  <c r="R7" i="2" s="1"/>
  <c r="H9" i="2"/>
  <c r="J9" i="2" s="1"/>
  <c r="R8" i="2" s="1"/>
  <c r="H10" i="2"/>
  <c r="J10" i="2" s="1"/>
  <c r="R9" i="2" s="1"/>
  <c r="H11" i="2"/>
  <c r="J11" i="2" s="1"/>
  <c r="R10" i="2" s="1"/>
  <c r="H12" i="2"/>
  <c r="J12" i="2" s="1"/>
  <c r="R11" i="2" s="1"/>
  <c r="H13" i="2"/>
  <c r="J13" i="2" s="1"/>
  <c r="R12" i="2" s="1"/>
  <c r="H14" i="2"/>
  <c r="J14" i="2" s="1"/>
  <c r="R13" i="2" s="1"/>
  <c r="H15" i="2"/>
  <c r="J15" i="2" s="1"/>
  <c r="R14" i="2" s="1"/>
  <c r="H5" i="2"/>
  <c r="J5" i="2" s="1"/>
  <c r="C6" i="2"/>
  <c r="E6" i="2" s="1"/>
  <c r="N5" i="2" s="1"/>
  <c r="C7" i="2"/>
  <c r="E7" i="2" s="1"/>
  <c r="N6" i="2" s="1"/>
  <c r="C8" i="2"/>
  <c r="E8" i="2" s="1"/>
  <c r="N7" i="2" s="1"/>
  <c r="C9" i="2"/>
  <c r="E9" i="2" s="1"/>
  <c r="N8" i="2" s="1"/>
  <c r="C10" i="2"/>
  <c r="E10" i="2" s="1"/>
  <c r="N9" i="2" s="1"/>
  <c r="C11" i="2"/>
  <c r="E11" i="2" s="1"/>
  <c r="N10" i="2" s="1"/>
  <c r="C12" i="2"/>
  <c r="E12" i="2" s="1"/>
  <c r="N11" i="2" s="1"/>
  <c r="C13" i="2"/>
  <c r="E13" i="2" s="1"/>
  <c r="N12" i="2" s="1"/>
  <c r="C14" i="2"/>
  <c r="E14" i="2" s="1"/>
  <c r="N13" i="2" s="1"/>
  <c r="C15" i="2"/>
  <c r="E15" i="2" s="1"/>
  <c r="N14" i="2" s="1"/>
  <c r="C5" i="2"/>
  <c r="U28" i="2"/>
  <c r="U43" i="2" s="1"/>
  <c r="U27" i="2"/>
  <c r="U42" i="2" s="1"/>
  <c r="U26" i="2"/>
  <c r="U41" i="2" s="1"/>
  <c r="U25" i="2"/>
  <c r="U40" i="2" s="1"/>
  <c r="U24" i="2"/>
  <c r="U39" i="2" s="1"/>
  <c r="U23" i="2"/>
  <c r="U38" i="2" s="1"/>
  <c r="U22" i="2"/>
  <c r="U37" i="2" s="1"/>
  <c r="U21" i="2"/>
  <c r="U36" i="2" s="1"/>
  <c r="U20" i="2"/>
  <c r="U35" i="2" s="1"/>
  <c r="U19" i="2"/>
  <c r="U34" i="2" s="1"/>
  <c r="U18" i="2"/>
  <c r="U33" i="2" s="1"/>
  <c r="T28" i="2"/>
  <c r="T43" i="2" s="1"/>
  <c r="T27" i="2"/>
  <c r="T42" i="2" s="1"/>
  <c r="T26" i="2"/>
  <c r="T41" i="2" s="1"/>
  <c r="T25" i="2"/>
  <c r="T40" i="2" s="1"/>
  <c r="T24" i="2"/>
  <c r="T39" i="2" s="1"/>
  <c r="T23" i="2"/>
  <c r="T38" i="2" s="1"/>
  <c r="T22" i="2"/>
  <c r="T37" i="2" s="1"/>
  <c r="T21" i="2"/>
  <c r="T36" i="2" s="1"/>
  <c r="T20" i="2"/>
  <c r="T35" i="2" s="1"/>
  <c r="T19" i="2"/>
  <c r="T34" i="2" s="1"/>
  <c r="T18" i="2"/>
  <c r="T33" i="2" s="1"/>
  <c r="S28" i="2"/>
  <c r="S43" i="2" s="1"/>
  <c r="S27" i="2"/>
  <c r="S42" i="2" s="1"/>
  <c r="S26" i="2"/>
  <c r="S41" i="2" s="1"/>
  <c r="S25" i="2"/>
  <c r="S40" i="2" s="1"/>
  <c r="S24" i="2"/>
  <c r="S39" i="2" s="1"/>
  <c r="S23" i="2"/>
  <c r="S38" i="2" s="1"/>
  <c r="S22" i="2"/>
  <c r="S37" i="2" s="1"/>
  <c r="S21" i="2"/>
  <c r="S36" i="2" s="1"/>
  <c r="S20" i="2"/>
  <c r="S35" i="2" s="1"/>
  <c r="S19" i="2"/>
  <c r="S34" i="2" s="1"/>
  <c r="S18" i="2"/>
  <c r="S33" i="2" s="1"/>
  <c r="R28" i="2"/>
  <c r="R43" i="2" s="1"/>
  <c r="R27" i="2"/>
  <c r="R42" i="2" s="1"/>
  <c r="R26" i="2"/>
  <c r="R41" i="2" s="1"/>
  <c r="R25" i="2"/>
  <c r="R40" i="2" s="1"/>
  <c r="R24" i="2"/>
  <c r="R23" i="2"/>
  <c r="R38" i="2" s="1"/>
  <c r="R22" i="2"/>
  <c r="R37" i="2" s="1"/>
  <c r="R21" i="2"/>
  <c r="R36" i="2" s="1"/>
  <c r="R20" i="2"/>
  <c r="R35" i="2" s="1"/>
  <c r="R19" i="2"/>
  <c r="R34" i="2" s="1"/>
  <c r="R18" i="2"/>
  <c r="R33" i="2" s="1"/>
  <c r="Q28" i="2"/>
  <c r="Q43" i="2" s="1"/>
  <c r="Q27" i="2"/>
  <c r="Q42" i="2" s="1"/>
  <c r="Q26" i="2"/>
  <c r="Q41" i="2" s="1"/>
  <c r="Q25" i="2"/>
  <c r="Q40" i="2" s="1"/>
  <c r="Q24" i="2"/>
  <c r="Q39" i="2" s="1"/>
  <c r="Q23" i="2"/>
  <c r="Q38" i="2" s="1"/>
  <c r="Q22" i="2"/>
  <c r="Q37" i="2" s="1"/>
  <c r="Q36" i="2"/>
  <c r="Q35" i="2"/>
  <c r="Q34" i="2"/>
  <c r="Q33" i="2"/>
  <c r="P28" i="2"/>
  <c r="P43" i="2" s="1"/>
  <c r="P27" i="2"/>
  <c r="P42" i="2" s="1"/>
  <c r="P26" i="2"/>
  <c r="P41" i="2" s="1"/>
  <c r="P25" i="2"/>
  <c r="P40" i="2" s="1"/>
  <c r="P24" i="2"/>
  <c r="P39" i="2" s="1"/>
  <c r="P23" i="2"/>
  <c r="P38" i="2" s="1"/>
  <c r="P22" i="2"/>
  <c r="P37" i="2" s="1"/>
  <c r="P21" i="2"/>
  <c r="P36" i="2" s="1"/>
  <c r="P20" i="2"/>
  <c r="P35" i="2" s="1"/>
  <c r="P19" i="2"/>
  <c r="P34" i="2" s="1"/>
  <c r="P18" i="2"/>
  <c r="P33" i="2" s="1"/>
  <c r="O28" i="2"/>
  <c r="O43" i="2" s="1"/>
  <c r="O27" i="2"/>
  <c r="O42" i="2" s="1"/>
  <c r="O26" i="2"/>
  <c r="O41" i="2" s="1"/>
  <c r="O25" i="2"/>
  <c r="O40" i="2" s="1"/>
  <c r="O24" i="2"/>
  <c r="O39" i="2" s="1"/>
  <c r="O23" i="2"/>
  <c r="O38" i="2" s="1"/>
  <c r="O22" i="2"/>
  <c r="O37" i="2" s="1"/>
  <c r="O21" i="2"/>
  <c r="O36" i="2" s="1"/>
  <c r="O20" i="2"/>
  <c r="O35" i="2" s="1"/>
  <c r="O19" i="2"/>
  <c r="O34" i="2" s="1"/>
  <c r="O18" i="2"/>
  <c r="O33" i="2" s="1"/>
  <c r="N28" i="2"/>
  <c r="N43" i="2" s="1"/>
  <c r="N27" i="2"/>
  <c r="N42" i="2" s="1"/>
  <c r="N26" i="2"/>
  <c r="N41" i="2" s="1"/>
  <c r="N25" i="2"/>
  <c r="N40" i="2" s="1"/>
  <c r="N24" i="2"/>
  <c r="N39" i="2" s="1"/>
  <c r="N23" i="2"/>
  <c r="N38" i="2" s="1"/>
  <c r="N22" i="2"/>
  <c r="N37" i="2" s="1"/>
  <c r="N21" i="2"/>
  <c r="N36" i="2" s="1"/>
  <c r="N20" i="2"/>
  <c r="N35" i="2" s="1"/>
  <c r="N19" i="2"/>
  <c r="N34" i="2" s="1"/>
  <c r="N18" i="2"/>
  <c r="N33" i="2" s="1"/>
  <c r="E5" i="2" l="1"/>
  <c r="N4" i="2" s="1"/>
  <c r="R4" i="2"/>
</calcChain>
</file>

<file path=xl/sharedStrings.xml><?xml version="1.0" encoding="utf-8"?>
<sst xmlns="http://schemas.openxmlformats.org/spreadsheetml/2006/main" count="45" uniqueCount="16">
  <si>
    <t>EV$</t>
  </si>
  <si>
    <t>Cev</t>
  </si>
  <si>
    <t>EV%</t>
  </si>
  <si>
    <t>Rake</t>
  </si>
  <si>
    <t>Rakeback</t>
  </si>
  <si>
    <t>Lucro</t>
  </si>
  <si>
    <t>Buyin</t>
  </si>
  <si>
    <t>Nº Telas:</t>
  </si>
  <si>
    <t>Parametros</t>
  </si>
  <si>
    <t xml:space="preserve">Simluador de Profit  </t>
  </si>
  <si>
    <t>Dias</t>
  </si>
  <si>
    <t>&lt;-T/h</t>
  </si>
  <si>
    <t>Dia</t>
  </si>
  <si>
    <t>Torneios / dia</t>
  </si>
  <si>
    <t>Horas / dia</t>
  </si>
  <si>
    <t>Fichas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</si>
</sst>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$-409]* #,##0_ ;_-[$$-409]* \-#,##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rgb="FF7030A0"/>
      <name val="Bahnschrift Light"/>
      <family val="2"/>
    </font>
    <font>
      <sz val="20"/>
      <name val="Bahnschrift Light"/>
      <family val="2"/>
    </font>
    <font>
      <b/>
      <sz val="9"/>
      <color theme="0"/>
      <name val="Bahnschrift Light"/>
      <family val="2"/>
    </font>
    <font>
      <sz val="7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2" applyNumberFormat="1" applyFont="1" applyBorder="1"/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4" borderId="0" xfId="0" applyFill="1"/>
    <xf numFmtId="0" fontId="2" fillId="2" borderId="1" xfId="0" applyFont="1" applyFill="1" applyBorder="1" applyAlignment="1">
      <alignment horizontal="center" vertical="center"/>
    </xf>
    <xf numFmtId="0" fontId="0" fillId="5" borderId="0" xfId="0" applyFill="1"/>
    <xf numFmtId="0" fontId="0" fillId="3" borderId="1" xfId="2" applyNumberFormat="1" applyFont="1" applyFill="1" applyBorder="1"/>
    <xf numFmtId="164" fontId="0" fillId="3" borderId="1" xfId="1" applyNumberFormat="1" applyFont="1" applyFill="1" applyBorder="1" applyAlignment="1">
      <alignment horizontal="center" vertical="center"/>
    </xf>
    <xf numFmtId="0" fontId="0" fillId="4" borderId="6" xfId="0" applyFill="1" applyBorder="1"/>
    <xf numFmtId="0" fontId="0" fillId="5" borderId="6" xfId="0" applyFill="1" applyBorder="1"/>
    <xf numFmtId="0" fontId="0" fillId="5" borderId="8" xfId="0" applyFill="1" applyBorder="1"/>
    <xf numFmtId="0" fontId="0" fillId="4" borderId="8" xfId="0" applyFill="1" applyBorder="1"/>
    <xf numFmtId="1" fontId="0" fillId="4" borderId="4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4" borderId="10" xfId="0" applyFill="1" applyBorder="1"/>
    <xf numFmtId="0" fontId="0" fillId="5" borderId="10" xfId="0" applyFill="1" applyBorder="1"/>
    <xf numFmtId="0" fontId="0" fillId="4" borderId="13" xfId="0" applyFill="1" applyBorder="1"/>
    <xf numFmtId="0" fontId="2" fillId="8" borderId="5" xfId="0" applyFont="1" applyFill="1" applyBorder="1"/>
    <xf numFmtId="9" fontId="2" fillId="8" borderId="5" xfId="0" applyNumberFormat="1" applyFont="1" applyFill="1" applyBorder="1"/>
    <xf numFmtId="0" fontId="8" fillId="6" borderId="11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4" borderId="12" xfId="0" applyFill="1" applyBorder="1"/>
    <xf numFmtId="0" fontId="9" fillId="5" borderId="0" xfId="0" applyFont="1" applyFill="1"/>
    <xf numFmtId="165" fontId="2" fillId="8" borderId="5" xfId="0" applyNumberFormat="1" applyFont="1" applyFill="1" applyBorder="1"/>
    <xf numFmtId="0" fontId="3" fillId="5" borderId="0" xfId="0" applyFont="1" applyFill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A7D971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9482-FCB0-4B70-BA60-6D14BB3CC9C4}">
  <sheetPr codeName="Folha2"/>
  <dimension ref="A1:AN68"/>
  <sheetViews>
    <sheetView tabSelected="1" zoomScale="120" zoomScaleNormal="120" workbookViewId="0">
      <selection activeCell="P10" sqref="P10"/>
    </sheetView>
  </sheetViews>
  <sheetFormatPr defaultRowHeight="14.4" x14ac:dyDescent="0.3"/>
  <cols>
    <col min="1" max="1" width="2" style="9" customWidth="1"/>
    <col min="2" max="2" width="4.33203125" bestFit="1" customWidth="1"/>
    <col min="3" max="5" width="10.6640625" customWidth="1"/>
    <col min="6" max="6" width="4.33203125" style="9" customWidth="1"/>
    <col min="7" max="7" width="4.33203125" bestFit="1" customWidth="1"/>
    <col min="8" max="10" width="10.6640625" customWidth="1"/>
    <col min="11" max="11" width="4.33203125" customWidth="1"/>
    <col min="12" max="12" width="4.33203125" style="9" customWidth="1"/>
    <col min="13" max="13" width="12.109375" bestFit="1" customWidth="1"/>
    <col min="14" max="22" width="10.6640625" customWidth="1"/>
    <col min="26" max="26" width="9.109375" customWidth="1"/>
  </cols>
  <sheetData>
    <row r="1" spans="2:40" ht="40.5" customHeight="1" x14ac:dyDescent="0.3">
      <c r="B1" s="41" t="s">
        <v>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">
        <v>8</v>
      </c>
      <c r="X1" s="44"/>
      <c r="Y1" s="44"/>
      <c r="Z1" s="45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2:40" s="9" customFormat="1" ht="6" customHeight="1" x14ac:dyDescent="0.3">
      <c r="W2" s="17"/>
      <c r="Z2" s="14"/>
    </row>
    <row r="3" spans="2:40" ht="26.25" customHeight="1" x14ac:dyDescent="0.35">
      <c r="B3" s="46">
        <v>1500</v>
      </c>
      <c r="C3" s="47"/>
      <c r="D3" s="47"/>
      <c r="E3" s="48"/>
      <c r="G3" s="38">
        <v>5000</v>
      </c>
      <c r="H3" s="39"/>
      <c r="I3" s="39"/>
      <c r="J3" s="40"/>
      <c r="K3" s="11"/>
      <c r="M3" s="10" t="s">
        <v>1</v>
      </c>
      <c r="N3" s="10">
        <v>1500</v>
      </c>
      <c r="O3" s="10">
        <v>2000</v>
      </c>
      <c r="P3" s="10">
        <v>3000</v>
      </c>
      <c r="Q3" s="10">
        <v>4000</v>
      </c>
      <c r="R3" s="10">
        <v>5000</v>
      </c>
      <c r="S3" s="10">
        <v>6000</v>
      </c>
      <c r="T3" s="10">
        <v>7000</v>
      </c>
      <c r="U3" s="10">
        <v>8000</v>
      </c>
      <c r="V3" s="15"/>
      <c r="W3" s="16"/>
      <c r="X3" s="9"/>
      <c r="Y3" s="9"/>
      <c r="Z3" s="14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2:40" x14ac:dyDescent="0.3">
      <c r="B4" s="1" t="s">
        <v>1</v>
      </c>
      <c r="C4" s="1" t="s">
        <v>0</v>
      </c>
      <c r="D4" s="1" t="s">
        <v>2</v>
      </c>
      <c r="E4" s="1" t="s">
        <v>5</v>
      </c>
      <c r="G4" s="1" t="s">
        <v>1</v>
      </c>
      <c r="H4" s="1" t="s">
        <v>0</v>
      </c>
      <c r="I4" s="1" t="s">
        <v>2</v>
      </c>
      <c r="J4" s="1" t="s">
        <v>5</v>
      </c>
      <c r="K4" s="11"/>
      <c r="M4" s="1">
        <v>30</v>
      </c>
      <c r="N4" s="4">
        <f t="shared" ref="N4:N14" si="0">E5</f>
        <v>277.95000000000005</v>
      </c>
      <c r="O4" s="4">
        <f t="shared" ref="O4:O14" si="1">E19</f>
        <v>370.60000000000019</v>
      </c>
      <c r="P4" s="4">
        <f t="shared" ref="P4:P14" si="2">E33</f>
        <v>555.90000000000009</v>
      </c>
      <c r="Q4" s="4">
        <f t="shared" ref="Q4:Q14" si="3">E47</f>
        <v>741.20000000000039</v>
      </c>
      <c r="R4" s="4">
        <f t="shared" ref="R4:R14" si="4">J5</f>
        <v>926.50000000000045</v>
      </c>
      <c r="S4" s="4">
        <f t="shared" ref="S4:S14" si="5">J19</f>
        <v>1111.8000000000002</v>
      </c>
      <c r="T4" s="4">
        <f t="shared" ref="T4:T14" si="6">J33</f>
        <v>1297.1000000000006</v>
      </c>
      <c r="U4" s="4">
        <f t="shared" ref="U4:U14" si="7">J47</f>
        <v>1482.4000000000008</v>
      </c>
      <c r="V4" s="15"/>
      <c r="W4" s="16"/>
      <c r="X4" s="9"/>
      <c r="Y4" s="9"/>
      <c r="Z4" s="14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2:40" x14ac:dyDescent="0.3">
      <c r="B5" s="1">
        <v>30</v>
      </c>
      <c r="C5" s="49">
        <f>(((B5-($Y$6*$Y$9))*$B$3)/$Y$9)*$Y$8</f>
        <v>-230.99999999999989</v>
      </c>
      <c r="D5" s="2">
        <v>-3.09E-2</v>
      </c>
      <c r="E5" s="3">
        <f>($B$3*$Y$6*$Y$7*$Y$8)+C5</f>
        <v>277.95000000000005</v>
      </c>
      <c r="G5" s="1">
        <v>30</v>
      </c>
      <c r="H5" s="49">
        <f>(((G5-($Y$6*$Y$9))*$G$3)/$Y$9)*$Y$8</f>
        <v>-769.99999999999955</v>
      </c>
      <c r="I5" s="2">
        <v>-3.09E-2</v>
      </c>
      <c r="J5" s="4">
        <f>($G$3*$Y$6*$Y$7*$Y$8)+H5</f>
        <v>926.50000000000045</v>
      </c>
      <c r="K5" s="11"/>
      <c r="M5" s="6">
        <v>35</v>
      </c>
      <c r="N5" s="5">
        <f t="shared" si="0"/>
        <v>427.95000000000005</v>
      </c>
      <c r="O5" s="5">
        <f t="shared" si="1"/>
        <v>570.60000000000014</v>
      </c>
      <c r="P5" s="5">
        <f t="shared" si="2"/>
        <v>855.90000000000009</v>
      </c>
      <c r="Q5" s="5">
        <f t="shared" si="3"/>
        <v>1141.2000000000003</v>
      </c>
      <c r="R5" s="5">
        <f t="shared" si="4"/>
        <v>1426.5000000000005</v>
      </c>
      <c r="S5" s="5">
        <f t="shared" si="5"/>
        <v>1711.8000000000002</v>
      </c>
      <c r="T5" s="5">
        <f t="shared" si="6"/>
        <v>1997.1000000000004</v>
      </c>
      <c r="U5" s="5">
        <f t="shared" si="7"/>
        <v>2282.4000000000005</v>
      </c>
      <c r="V5" s="15"/>
      <c r="W5" s="16"/>
      <c r="X5" s="9"/>
      <c r="Y5" s="9"/>
      <c r="Z5" s="14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2:40" x14ac:dyDescent="0.3">
      <c r="B6" s="6">
        <v>35</v>
      </c>
      <c r="C6" s="49">
        <f t="shared" ref="C6:C15" si="8">(((B6-($Y$6*$Y$9))*$B$3)/$Y$9)*$Y$8</f>
        <v>-80.999999999999872</v>
      </c>
      <c r="D6" s="12">
        <v>-2.7900000000000001E-2</v>
      </c>
      <c r="E6" s="13">
        <f t="shared" ref="E5:E15" si="9">($B$3*$Y$6*$Y$7*$Y$8)+C6</f>
        <v>427.95000000000005</v>
      </c>
      <c r="G6" s="6">
        <v>35</v>
      </c>
      <c r="H6" s="49">
        <f t="shared" ref="H6:H15" si="10">(((G6-($Y$6*$Y$9))*$G$3)/$Y$9)*$Y$8</f>
        <v>-269.99999999999955</v>
      </c>
      <c r="I6" s="12">
        <v>-2.7900000000000001E-2</v>
      </c>
      <c r="J6" s="5">
        <f t="shared" ref="J5:J15" si="11">($G$3*$Y$6*$Y$7*$Y$8)+H6</f>
        <v>1426.5000000000005</v>
      </c>
      <c r="K6" s="11"/>
      <c r="M6" s="1">
        <v>40</v>
      </c>
      <c r="N6" s="4">
        <f t="shared" si="0"/>
        <v>577.95000000000005</v>
      </c>
      <c r="O6" s="4">
        <f t="shared" si="1"/>
        <v>770.60000000000014</v>
      </c>
      <c r="P6" s="4">
        <f t="shared" si="2"/>
        <v>1155.9000000000001</v>
      </c>
      <c r="Q6" s="4">
        <f t="shared" si="3"/>
        <v>1541.2000000000003</v>
      </c>
      <c r="R6" s="4">
        <f t="shared" si="4"/>
        <v>1926.5000000000005</v>
      </c>
      <c r="S6" s="4">
        <f t="shared" si="5"/>
        <v>2311.8000000000002</v>
      </c>
      <c r="T6" s="4">
        <f t="shared" si="6"/>
        <v>2697.1000000000004</v>
      </c>
      <c r="U6" s="4">
        <f t="shared" si="7"/>
        <v>3082.4000000000005</v>
      </c>
      <c r="V6" s="15"/>
      <c r="W6" s="16"/>
      <c r="X6" s="27" t="s">
        <v>3</v>
      </c>
      <c r="Y6" s="28">
        <v>7.5399999999999995E-2</v>
      </c>
      <c r="Z6" s="14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2:40" x14ac:dyDescent="0.3">
      <c r="B7" s="1">
        <v>40</v>
      </c>
      <c r="C7" s="49">
        <f t="shared" si="8"/>
        <v>69.000000000000128</v>
      </c>
      <c r="D7" s="2">
        <v>-2.5000000000000001E-2</v>
      </c>
      <c r="E7" s="3">
        <f t="shared" si="9"/>
        <v>577.95000000000005</v>
      </c>
      <c r="G7" s="1">
        <v>40</v>
      </c>
      <c r="H7" s="49">
        <f t="shared" si="10"/>
        <v>230.00000000000043</v>
      </c>
      <c r="I7" s="2">
        <v>-2.5000000000000001E-2</v>
      </c>
      <c r="J7" s="4">
        <f t="shared" si="11"/>
        <v>1926.5000000000005</v>
      </c>
      <c r="K7" s="11"/>
      <c r="M7" s="1">
        <v>45</v>
      </c>
      <c r="N7" s="5">
        <f t="shared" si="0"/>
        <v>727.95</v>
      </c>
      <c r="O7" s="5">
        <f t="shared" si="1"/>
        <v>970.60000000000014</v>
      </c>
      <c r="P7" s="5">
        <f t="shared" si="2"/>
        <v>1455.9</v>
      </c>
      <c r="Q7" s="5">
        <f t="shared" si="3"/>
        <v>1941.2000000000003</v>
      </c>
      <c r="R7" s="5">
        <f t="shared" si="4"/>
        <v>2426.5000000000005</v>
      </c>
      <c r="S7" s="5">
        <f t="shared" si="5"/>
        <v>2911.8</v>
      </c>
      <c r="T7" s="5">
        <f t="shared" si="6"/>
        <v>3397.1000000000004</v>
      </c>
      <c r="U7" s="5">
        <f t="shared" si="7"/>
        <v>3882.4000000000005</v>
      </c>
      <c r="V7" s="15"/>
      <c r="W7" s="16"/>
      <c r="X7" s="27" t="s">
        <v>4</v>
      </c>
      <c r="Y7" s="28">
        <v>0.45</v>
      </c>
      <c r="Z7" s="14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2:40" x14ac:dyDescent="0.3">
      <c r="B8" s="1">
        <v>45</v>
      </c>
      <c r="C8" s="49">
        <f t="shared" si="8"/>
        <v>219.00000000000011</v>
      </c>
      <c r="D8" s="12">
        <v>-2.1999999999999999E-2</v>
      </c>
      <c r="E8" s="13">
        <f t="shared" si="9"/>
        <v>727.95</v>
      </c>
      <c r="G8" s="1">
        <v>45</v>
      </c>
      <c r="H8" s="49">
        <f t="shared" si="10"/>
        <v>730.00000000000045</v>
      </c>
      <c r="I8" s="12">
        <v>-2.1999999999999999E-2</v>
      </c>
      <c r="J8" s="5">
        <f t="shared" si="11"/>
        <v>2426.5000000000005</v>
      </c>
      <c r="K8" s="11"/>
      <c r="M8" s="6">
        <v>50</v>
      </c>
      <c r="N8" s="4">
        <f t="shared" si="0"/>
        <v>877.95</v>
      </c>
      <c r="O8" s="4">
        <f t="shared" si="1"/>
        <v>1170.6000000000001</v>
      </c>
      <c r="P8" s="4">
        <f t="shared" si="2"/>
        <v>1755.9</v>
      </c>
      <c r="Q8" s="4">
        <f t="shared" si="3"/>
        <v>2341.2000000000003</v>
      </c>
      <c r="R8" s="4">
        <f t="shared" si="4"/>
        <v>2926.5000000000005</v>
      </c>
      <c r="S8" s="4">
        <f t="shared" si="5"/>
        <v>3511.8</v>
      </c>
      <c r="T8" s="4">
        <f t="shared" si="6"/>
        <v>4097.1000000000004</v>
      </c>
      <c r="U8" s="4">
        <f t="shared" si="7"/>
        <v>4682.4000000000005</v>
      </c>
      <c r="V8" s="15"/>
      <c r="W8" s="16"/>
      <c r="X8" s="27" t="s">
        <v>6</v>
      </c>
      <c r="Y8" s="36">
        <v>10</v>
      </c>
      <c r="Z8" s="14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2:40" x14ac:dyDescent="0.3">
      <c r="B9" s="6">
        <v>50</v>
      </c>
      <c r="C9" s="49">
        <f t="shared" si="8"/>
        <v>369.00000000000011</v>
      </c>
      <c r="D9" s="2">
        <v>-1.9E-2</v>
      </c>
      <c r="E9" s="3">
        <f t="shared" si="9"/>
        <v>877.95</v>
      </c>
      <c r="G9" s="6">
        <v>50</v>
      </c>
      <c r="H9" s="49">
        <f t="shared" si="10"/>
        <v>1230.0000000000005</v>
      </c>
      <c r="I9" s="2">
        <v>-1.9E-2</v>
      </c>
      <c r="J9" s="4">
        <f t="shared" si="11"/>
        <v>2926.5000000000005</v>
      </c>
      <c r="K9" s="11"/>
      <c r="M9" s="1">
        <v>55</v>
      </c>
      <c r="N9" s="5">
        <f t="shared" si="0"/>
        <v>1027.95</v>
      </c>
      <c r="O9" s="5">
        <f t="shared" si="1"/>
        <v>1370.6000000000004</v>
      </c>
      <c r="P9" s="5">
        <f t="shared" si="2"/>
        <v>2055.9</v>
      </c>
      <c r="Q9" s="5">
        <f t="shared" si="3"/>
        <v>2741.2000000000007</v>
      </c>
      <c r="R9" s="5">
        <f t="shared" si="4"/>
        <v>3426.5</v>
      </c>
      <c r="S9" s="5">
        <f t="shared" si="5"/>
        <v>4111.8</v>
      </c>
      <c r="T9" s="5">
        <f t="shared" si="6"/>
        <v>4797.1000000000004</v>
      </c>
      <c r="U9" s="5">
        <f t="shared" si="7"/>
        <v>5482.4000000000015</v>
      </c>
      <c r="V9" s="15"/>
      <c r="W9" s="16"/>
      <c r="X9" s="9" t="s">
        <v>15</v>
      </c>
      <c r="Y9" s="9">
        <v>500</v>
      </c>
      <c r="Z9" s="14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2:40" x14ac:dyDescent="0.3">
      <c r="B10" s="1">
        <v>55</v>
      </c>
      <c r="C10" s="49">
        <f t="shared" si="8"/>
        <v>519.00000000000011</v>
      </c>
      <c r="D10" s="12">
        <v>-1.61E-2</v>
      </c>
      <c r="E10" s="13">
        <f t="shared" si="9"/>
        <v>1027.95</v>
      </c>
      <c r="G10" s="1">
        <v>55</v>
      </c>
      <c r="H10" s="49">
        <f t="shared" si="10"/>
        <v>1730.0000000000002</v>
      </c>
      <c r="I10" s="12">
        <v>-1.61E-2</v>
      </c>
      <c r="J10" s="5">
        <f t="shared" si="11"/>
        <v>3426.5</v>
      </c>
      <c r="K10" s="11"/>
      <c r="M10" s="1">
        <v>60</v>
      </c>
      <c r="N10" s="4">
        <f t="shared" si="0"/>
        <v>1177.9500000000003</v>
      </c>
      <c r="O10" s="4">
        <f t="shared" si="1"/>
        <v>1570.6000000000004</v>
      </c>
      <c r="P10" s="4">
        <f t="shared" si="2"/>
        <v>2355.9000000000005</v>
      </c>
      <c r="Q10" s="4">
        <f t="shared" si="3"/>
        <v>3141.2000000000007</v>
      </c>
      <c r="R10" s="4">
        <f t="shared" si="4"/>
        <v>3926.5000000000005</v>
      </c>
      <c r="S10" s="4">
        <f t="shared" si="5"/>
        <v>4711.8000000000011</v>
      </c>
      <c r="T10" s="4">
        <f t="shared" si="6"/>
        <v>5497.1</v>
      </c>
      <c r="U10" s="4">
        <f t="shared" si="7"/>
        <v>6282.4000000000015</v>
      </c>
      <c r="V10" s="15"/>
      <c r="W10" s="16"/>
      <c r="X10" s="9"/>
      <c r="Y10" s="9"/>
      <c r="Z10" s="14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2:40" x14ac:dyDescent="0.3">
      <c r="B11" s="1">
        <v>60</v>
      </c>
      <c r="C11" s="49">
        <f t="shared" si="8"/>
        <v>669.00000000000023</v>
      </c>
      <c r="D11" s="2">
        <v>-1.3100000000000001E-2</v>
      </c>
      <c r="E11" s="3">
        <f t="shared" si="9"/>
        <v>1177.9500000000003</v>
      </c>
      <c r="G11" s="1">
        <v>60</v>
      </c>
      <c r="H11" s="49">
        <f t="shared" si="10"/>
        <v>2230.0000000000005</v>
      </c>
      <c r="I11" s="2">
        <v>-1.3100000000000001E-2</v>
      </c>
      <c r="J11" s="4">
        <f t="shared" si="11"/>
        <v>3926.5000000000005</v>
      </c>
      <c r="K11" s="11"/>
      <c r="M11" s="6">
        <v>65</v>
      </c>
      <c r="N11" s="5">
        <f t="shared" si="0"/>
        <v>1327.9500000000003</v>
      </c>
      <c r="O11" s="5">
        <f t="shared" si="1"/>
        <v>1770.6000000000004</v>
      </c>
      <c r="P11" s="5">
        <f t="shared" si="2"/>
        <v>2655.9000000000005</v>
      </c>
      <c r="Q11" s="5">
        <f t="shared" si="3"/>
        <v>3541.2000000000007</v>
      </c>
      <c r="R11" s="5">
        <f t="shared" si="4"/>
        <v>4426.5</v>
      </c>
      <c r="S11" s="5">
        <f t="shared" si="5"/>
        <v>5311.8000000000011</v>
      </c>
      <c r="T11" s="5">
        <f t="shared" si="6"/>
        <v>6197.1</v>
      </c>
      <c r="U11" s="5">
        <f t="shared" si="7"/>
        <v>7082.4000000000015</v>
      </c>
      <c r="V11" s="15"/>
      <c r="W11" s="16"/>
      <c r="X11" s="9"/>
      <c r="Y11" s="9"/>
      <c r="Z11" s="14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2:40" x14ac:dyDescent="0.3">
      <c r="B12" s="6">
        <v>65</v>
      </c>
      <c r="C12" s="49">
        <f t="shared" si="8"/>
        <v>819.00000000000023</v>
      </c>
      <c r="D12" s="12">
        <v>-1.0200000000000001E-2</v>
      </c>
      <c r="E12" s="13">
        <f t="shared" si="9"/>
        <v>1327.9500000000003</v>
      </c>
      <c r="G12" s="6">
        <v>65</v>
      </c>
      <c r="H12" s="49">
        <f t="shared" si="10"/>
        <v>2730.0000000000005</v>
      </c>
      <c r="I12" s="12">
        <v>-1.0200000000000001E-2</v>
      </c>
      <c r="J12" s="5">
        <f t="shared" si="11"/>
        <v>4426.5</v>
      </c>
      <c r="K12" s="11"/>
      <c r="M12" s="1">
        <v>70</v>
      </c>
      <c r="N12" s="4">
        <f t="shared" si="0"/>
        <v>1477.9500000000003</v>
      </c>
      <c r="O12" s="4">
        <f t="shared" si="1"/>
        <v>1970.6000000000004</v>
      </c>
      <c r="P12" s="4">
        <f t="shared" si="2"/>
        <v>2955.9000000000005</v>
      </c>
      <c r="Q12" s="4">
        <f t="shared" si="3"/>
        <v>3941.2000000000007</v>
      </c>
      <c r="R12" s="4">
        <f t="shared" si="4"/>
        <v>4926.5</v>
      </c>
      <c r="S12" s="4">
        <f t="shared" si="5"/>
        <v>5911.8000000000011</v>
      </c>
      <c r="T12" s="4">
        <f t="shared" si="6"/>
        <v>6897.1</v>
      </c>
      <c r="U12" s="4">
        <f t="shared" si="7"/>
        <v>7882.4000000000015</v>
      </c>
      <c r="V12" s="15"/>
      <c r="W12" s="16"/>
      <c r="X12" s="9"/>
      <c r="Y12" s="9"/>
      <c r="Z12" s="14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2:40" x14ac:dyDescent="0.3">
      <c r="B13" s="1">
        <v>70</v>
      </c>
      <c r="C13" s="49">
        <f t="shared" si="8"/>
        <v>969.00000000000023</v>
      </c>
      <c r="D13" s="2">
        <v>-7.1999999999999998E-3</v>
      </c>
      <c r="E13" s="3">
        <f t="shared" si="9"/>
        <v>1477.9500000000003</v>
      </c>
      <c r="G13" s="1">
        <v>70</v>
      </c>
      <c r="H13" s="49">
        <f t="shared" si="10"/>
        <v>3230.0000000000005</v>
      </c>
      <c r="I13" s="2">
        <v>-7.1999999999999998E-3</v>
      </c>
      <c r="J13" s="4">
        <f t="shared" si="11"/>
        <v>4926.5</v>
      </c>
      <c r="K13" s="11"/>
      <c r="M13" s="1">
        <v>75</v>
      </c>
      <c r="N13" s="5">
        <f t="shared" si="0"/>
        <v>1627.9500000000003</v>
      </c>
      <c r="O13" s="5">
        <f t="shared" si="1"/>
        <v>2170.6000000000004</v>
      </c>
      <c r="P13" s="5">
        <f t="shared" si="2"/>
        <v>3255.9000000000005</v>
      </c>
      <c r="Q13" s="5">
        <f t="shared" si="3"/>
        <v>4341.2000000000007</v>
      </c>
      <c r="R13" s="5">
        <f t="shared" si="4"/>
        <v>5426.5</v>
      </c>
      <c r="S13" s="5">
        <f t="shared" si="5"/>
        <v>6511.8000000000011</v>
      </c>
      <c r="T13" s="5">
        <f t="shared" si="6"/>
        <v>7597.1</v>
      </c>
      <c r="U13" s="5">
        <f t="shared" si="7"/>
        <v>8682.4000000000015</v>
      </c>
      <c r="V13" s="15"/>
      <c r="W13" s="16"/>
      <c r="X13" s="9"/>
      <c r="Y13" s="9"/>
      <c r="Z13" s="14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2:40" x14ac:dyDescent="0.3">
      <c r="B14" s="1">
        <v>75</v>
      </c>
      <c r="C14" s="49">
        <f t="shared" si="8"/>
        <v>1119.0000000000002</v>
      </c>
      <c r="D14" s="12">
        <v>-4.3E-3</v>
      </c>
      <c r="E14" s="13">
        <f t="shared" si="9"/>
        <v>1627.9500000000003</v>
      </c>
      <c r="G14" s="1">
        <v>75</v>
      </c>
      <c r="H14" s="49">
        <f t="shared" si="10"/>
        <v>3730.0000000000005</v>
      </c>
      <c r="I14" s="12">
        <v>-4.3E-3</v>
      </c>
      <c r="J14" s="5">
        <f t="shared" si="11"/>
        <v>5426.5</v>
      </c>
      <c r="K14" s="11"/>
      <c r="M14" s="6">
        <v>80</v>
      </c>
      <c r="N14" s="4">
        <f t="shared" si="0"/>
        <v>1777.9500000000003</v>
      </c>
      <c r="O14" s="4">
        <f t="shared" si="1"/>
        <v>2370.6000000000004</v>
      </c>
      <c r="P14" s="4">
        <f t="shared" si="2"/>
        <v>3555.9000000000005</v>
      </c>
      <c r="Q14" s="4">
        <f t="shared" si="3"/>
        <v>4741.2000000000007</v>
      </c>
      <c r="R14" s="4">
        <f t="shared" si="4"/>
        <v>5926.5000000000009</v>
      </c>
      <c r="S14" s="4">
        <f t="shared" si="5"/>
        <v>7111.8000000000011</v>
      </c>
      <c r="T14" s="4">
        <f t="shared" si="6"/>
        <v>8297.1000000000022</v>
      </c>
      <c r="U14" s="4">
        <f t="shared" si="7"/>
        <v>9482.4000000000015</v>
      </c>
      <c r="V14" s="15"/>
      <c r="W14" s="16"/>
      <c r="X14" s="9"/>
      <c r="Y14" s="9"/>
      <c r="Z14" s="14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2:40" ht="15" thickBot="1" x14ac:dyDescent="0.35">
      <c r="B15" s="6">
        <v>80</v>
      </c>
      <c r="C15" s="49">
        <f t="shared" si="8"/>
        <v>1269.0000000000002</v>
      </c>
      <c r="D15" s="2">
        <v>-1.2999999999999999E-3</v>
      </c>
      <c r="E15" s="3">
        <f t="shared" si="9"/>
        <v>1777.9500000000003</v>
      </c>
      <c r="G15" s="6">
        <v>80</v>
      </c>
      <c r="H15" s="49">
        <f t="shared" si="10"/>
        <v>4230.0000000000009</v>
      </c>
      <c r="I15" s="2">
        <v>-1.2999999999999999E-3</v>
      </c>
      <c r="J15" s="4">
        <f t="shared" si="11"/>
        <v>5926.5000000000009</v>
      </c>
      <c r="K15" s="11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6"/>
      <c r="X15" s="9"/>
      <c r="Y15" s="9"/>
      <c r="Z15" s="14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2:40" x14ac:dyDescent="0.3">
      <c r="B16" s="11"/>
      <c r="C16" s="11"/>
      <c r="D16" s="11"/>
      <c r="E16" s="11"/>
      <c r="G16" s="11"/>
      <c r="H16" s="11"/>
      <c r="I16" s="11"/>
      <c r="J16" s="11"/>
      <c r="K16" s="11"/>
      <c r="L16" s="26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4"/>
      <c r="Y16" s="24"/>
      <c r="Z16" s="34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2:40" ht="26.25" customHeight="1" x14ac:dyDescent="0.3">
      <c r="B17" s="38">
        <v>2000</v>
      </c>
      <c r="C17" s="39"/>
      <c r="D17" s="39"/>
      <c r="E17" s="40"/>
      <c r="G17" s="38">
        <v>6000</v>
      </c>
      <c r="H17" s="39"/>
      <c r="I17" s="39"/>
      <c r="J17" s="40"/>
      <c r="K17" s="15"/>
      <c r="L17" s="17"/>
      <c r="M17" s="29" t="s">
        <v>10</v>
      </c>
      <c r="N17" s="23">
        <v>1500</v>
      </c>
      <c r="O17" s="23">
        <v>2000</v>
      </c>
      <c r="P17" s="23">
        <v>3000</v>
      </c>
      <c r="Q17" s="23">
        <v>4000</v>
      </c>
      <c r="R17" s="23">
        <v>5000</v>
      </c>
      <c r="S17" s="23">
        <v>6000</v>
      </c>
      <c r="T17" s="23">
        <v>7000</v>
      </c>
      <c r="U17" s="23">
        <v>8000</v>
      </c>
      <c r="V17" s="9"/>
      <c r="W17" s="9"/>
      <c r="X17" s="9"/>
      <c r="Y17" s="9"/>
      <c r="Z17" s="14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2:40" x14ac:dyDescent="0.3">
      <c r="B18" s="1" t="s">
        <v>1</v>
      </c>
      <c r="C18" s="1" t="s">
        <v>0</v>
      </c>
      <c r="D18" s="1" t="s">
        <v>2</v>
      </c>
      <c r="E18" s="1" t="s">
        <v>5</v>
      </c>
      <c r="G18" s="1" t="s">
        <v>1</v>
      </c>
      <c r="H18" s="1" t="s">
        <v>0</v>
      </c>
      <c r="I18" s="1" t="s">
        <v>2</v>
      </c>
      <c r="J18" s="1" t="s">
        <v>5</v>
      </c>
      <c r="K18" s="15"/>
      <c r="L18" s="17"/>
      <c r="M18" s="22">
        <v>15</v>
      </c>
      <c r="N18" s="20">
        <f t="shared" ref="N18:N28" si="12">N$17/M18</f>
        <v>100</v>
      </c>
      <c r="O18" s="21">
        <f t="shared" ref="O18:O28" si="13">O$17/M18</f>
        <v>133.33333333333334</v>
      </c>
      <c r="P18" s="21">
        <f t="shared" ref="P18:P28" si="14">P$17/M18</f>
        <v>200</v>
      </c>
      <c r="Q18" s="21">
        <f t="shared" ref="Q18:Q28" si="15">Q$17/M18</f>
        <v>266.66666666666669</v>
      </c>
      <c r="R18" s="21">
        <f t="shared" ref="R18:R28" si="16">R$17/M18</f>
        <v>333.33333333333331</v>
      </c>
      <c r="S18" s="21">
        <f t="shared" ref="S18:S28" si="17">S$17/M18</f>
        <v>400</v>
      </c>
      <c r="T18" s="21">
        <f t="shared" ref="T18:T28" si="18">T$17/M18</f>
        <v>466.66666666666669</v>
      </c>
      <c r="U18" s="21">
        <f t="shared" ref="U18:U28" si="19">U$17/M18</f>
        <v>533.33333333333337</v>
      </c>
      <c r="V18" s="9"/>
      <c r="W18" s="9"/>
      <c r="X18" s="9"/>
      <c r="Y18" s="9"/>
      <c r="Z18" s="14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2:40" x14ac:dyDescent="0.3">
      <c r="B19" s="1">
        <v>30</v>
      </c>
      <c r="C19" s="49">
        <f>(((B19-($Y$6*$Y$9))*$B$17)/$Y$9)*$Y$8</f>
        <v>-307.99999999999983</v>
      </c>
      <c r="D19" s="2">
        <v>-3.09E-2</v>
      </c>
      <c r="E19" s="4">
        <f t="shared" ref="E19:E29" si="20">($B$17*$Y$6*$Y$7*$Y$8)+C19</f>
        <v>370.60000000000019</v>
      </c>
      <c r="G19" s="1">
        <v>30</v>
      </c>
      <c r="H19" s="49">
        <f>(((G19-($Y$6*$Y$9))*$G$17)/$Y$9)*$Y$8</f>
        <v>-923.99999999999955</v>
      </c>
      <c r="I19" s="2">
        <v>-3.09E-2</v>
      </c>
      <c r="J19" s="4">
        <f t="shared" ref="J19:J29" si="21">($G$17*$Y$6*$Y$7*$Y$8)+H19</f>
        <v>1111.8000000000002</v>
      </c>
      <c r="K19" s="15"/>
      <c r="L19" s="17"/>
      <c r="M19" s="22">
        <v>16</v>
      </c>
      <c r="N19" s="19">
        <f t="shared" si="12"/>
        <v>93.75</v>
      </c>
      <c r="O19" s="8">
        <f t="shared" si="13"/>
        <v>125</v>
      </c>
      <c r="P19" s="8">
        <f t="shared" si="14"/>
        <v>187.5</v>
      </c>
      <c r="Q19" s="8">
        <f t="shared" si="15"/>
        <v>250</v>
      </c>
      <c r="R19" s="8">
        <f t="shared" si="16"/>
        <v>312.5</v>
      </c>
      <c r="S19" s="8">
        <f t="shared" si="17"/>
        <v>375</v>
      </c>
      <c r="T19" s="8">
        <f t="shared" si="18"/>
        <v>437.5</v>
      </c>
      <c r="U19" s="8">
        <f t="shared" si="19"/>
        <v>500</v>
      </c>
      <c r="V19" s="11"/>
      <c r="W19" s="11"/>
      <c r="X19" s="11"/>
      <c r="Y19" s="9"/>
      <c r="Z19" s="14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2:40" x14ac:dyDescent="0.3">
      <c r="B20" s="6">
        <v>35</v>
      </c>
      <c r="C20" s="49">
        <f t="shared" ref="C20:C29" si="22">(((B20-($Y$6*$Y$9))*$B$17)/$Y$9)*$Y$8</f>
        <v>-107.99999999999983</v>
      </c>
      <c r="D20" s="12">
        <v>-2.7900000000000001E-2</v>
      </c>
      <c r="E20" s="5">
        <f t="shared" si="20"/>
        <v>570.60000000000014</v>
      </c>
      <c r="G20" s="6">
        <v>35</v>
      </c>
      <c r="H20" s="49">
        <f t="shared" ref="H20:H29" si="23">(((G20-($Y$6*$Y$9))*$G$17)/$Y$9)*$Y$8</f>
        <v>-323.99999999999949</v>
      </c>
      <c r="I20" s="12">
        <v>-2.7900000000000001E-2</v>
      </c>
      <c r="J20" s="5">
        <f t="shared" si="21"/>
        <v>1711.8000000000002</v>
      </c>
      <c r="K20" s="15"/>
      <c r="L20" s="17"/>
      <c r="M20" s="22">
        <v>17</v>
      </c>
      <c r="N20" s="18">
        <f t="shared" si="12"/>
        <v>88.235294117647058</v>
      </c>
      <c r="O20" s="7">
        <f t="shared" si="13"/>
        <v>117.64705882352941</v>
      </c>
      <c r="P20" s="7">
        <f t="shared" si="14"/>
        <v>176.47058823529412</v>
      </c>
      <c r="Q20" s="7">
        <f t="shared" si="15"/>
        <v>235.29411764705881</v>
      </c>
      <c r="R20" s="7">
        <f t="shared" si="16"/>
        <v>294.11764705882354</v>
      </c>
      <c r="S20" s="7">
        <f t="shared" si="17"/>
        <v>352.94117647058823</v>
      </c>
      <c r="T20" s="7">
        <f t="shared" si="18"/>
        <v>411.76470588235293</v>
      </c>
      <c r="U20" s="7">
        <f t="shared" si="19"/>
        <v>470.58823529411762</v>
      </c>
      <c r="V20" s="11"/>
      <c r="W20" s="11"/>
      <c r="X20" s="11"/>
      <c r="Y20" s="9"/>
      <c r="Z20" s="14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2:40" x14ac:dyDescent="0.3">
      <c r="B21" s="1">
        <v>40</v>
      </c>
      <c r="C21" s="49">
        <f t="shared" si="22"/>
        <v>92.000000000000171</v>
      </c>
      <c r="D21" s="2">
        <v>-2.5000000000000001E-2</v>
      </c>
      <c r="E21" s="4">
        <f t="shared" si="20"/>
        <v>770.60000000000014</v>
      </c>
      <c r="G21" s="1">
        <v>40</v>
      </c>
      <c r="H21" s="49">
        <f t="shared" si="23"/>
        <v>276.00000000000051</v>
      </c>
      <c r="I21" s="2">
        <v>-2.5000000000000001E-2</v>
      </c>
      <c r="J21" s="4">
        <f t="shared" si="21"/>
        <v>2311.8000000000002</v>
      </c>
      <c r="K21" s="15"/>
      <c r="L21" s="17"/>
      <c r="M21" s="22">
        <v>18</v>
      </c>
      <c r="N21" s="19">
        <f t="shared" si="12"/>
        <v>83.333333333333329</v>
      </c>
      <c r="O21" s="8">
        <f t="shared" si="13"/>
        <v>111.11111111111111</v>
      </c>
      <c r="P21" s="8">
        <f t="shared" si="14"/>
        <v>166.66666666666666</v>
      </c>
      <c r="Q21" s="8">
        <f t="shared" si="15"/>
        <v>222.22222222222223</v>
      </c>
      <c r="R21" s="8">
        <f t="shared" si="16"/>
        <v>277.77777777777777</v>
      </c>
      <c r="S21" s="8">
        <f t="shared" si="17"/>
        <v>333.33333333333331</v>
      </c>
      <c r="T21" s="8">
        <f t="shared" si="18"/>
        <v>388.88888888888891</v>
      </c>
      <c r="U21" s="8">
        <f t="shared" si="19"/>
        <v>444.44444444444446</v>
      </c>
      <c r="V21" s="11"/>
      <c r="W21" s="11"/>
      <c r="X21" s="11"/>
      <c r="Y21" s="9"/>
      <c r="Z21" s="14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2:40" x14ac:dyDescent="0.3">
      <c r="B22" s="1">
        <v>45</v>
      </c>
      <c r="C22" s="49">
        <f t="shared" si="22"/>
        <v>292.00000000000017</v>
      </c>
      <c r="D22" s="12">
        <v>-2.1999999999999999E-2</v>
      </c>
      <c r="E22" s="5">
        <f t="shared" si="20"/>
        <v>970.60000000000014</v>
      </c>
      <c r="G22" s="1">
        <v>45</v>
      </c>
      <c r="H22" s="49">
        <f t="shared" si="23"/>
        <v>876.00000000000045</v>
      </c>
      <c r="I22" s="12">
        <v>-2.1999999999999999E-2</v>
      </c>
      <c r="J22" s="5">
        <f t="shared" si="21"/>
        <v>2911.8</v>
      </c>
      <c r="K22" s="15"/>
      <c r="L22" s="17"/>
      <c r="M22" s="22">
        <v>19</v>
      </c>
      <c r="N22" s="18">
        <f t="shared" si="12"/>
        <v>78.94736842105263</v>
      </c>
      <c r="O22" s="7">
        <f t="shared" si="13"/>
        <v>105.26315789473684</v>
      </c>
      <c r="P22" s="7">
        <f t="shared" si="14"/>
        <v>157.89473684210526</v>
      </c>
      <c r="Q22" s="7">
        <f t="shared" si="15"/>
        <v>210.52631578947367</v>
      </c>
      <c r="R22" s="7">
        <f t="shared" si="16"/>
        <v>263.15789473684208</v>
      </c>
      <c r="S22" s="7">
        <f t="shared" si="17"/>
        <v>315.78947368421052</v>
      </c>
      <c r="T22" s="7">
        <f t="shared" si="18"/>
        <v>368.42105263157896</v>
      </c>
      <c r="U22" s="7">
        <f t="shared" si="19"/>
        <v>421.05263157894734</v>
      </c>
      <c r="V22" s="11"/>
      <c r="W22" s="37" t="s">
        <v>13</v>
      </c>
      <c r="X22" s="11"/>
      <c r="Y22" s="9"/>
      <c r="Z22" s="14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2:40" x14ac:dyDescent="0.3">
      <c r="B23" s="6">
        <v>50</v>
      </c>
      <c r="C23" s="49">
        <f t="shared" si="22"/>
        <v>492.00000000000017</v>
      </c>
      <c r="D23" s="2">
        <v>-1.9E-2</v>
      </c>
      <c r="E23" s="4">
        <f t="shared" si="20"/>
        <v>1170.6000000000001</v>
      </c>
      <c r="G23" s="6">
        <v>50</v>
      </c>
      <c r="H23" s="49">
        <f t="shared" si="23"/>
        <v>1476.0000000000005</v>
      </c>
      <c r="I23" s="2">
        <v>-1.9E-2</v>
      </c>
      <c r="J23" s="4">
        <f t="shared" si="21"/>
        <v>3511.8</v>
      </c>
      <c r="K23" s="15"/>
      <c r="L23" s="17"/>
      <c r="M23" s="22">
        <v>20</v>
      </c>
      <c r="N23" s="19">
        <f t="shared" si="12"/>
        <v>75</v>
      </c>
      <c r="O23" s="8">
        <f t="shared" si="13"/>
        <v>100</v>
      </c>
      <c r="P23" s="8">
        <f t="shared" si="14"/>
        <v>150</v>
      </c>
      <c r="Q23" s="8">
        <f t="shared" si="15"/>
        <v>200</v>
      </c>
      <c r="R23" s="8">
        <f t="shared" si="16"/>
        <v>250</v>
      </c>
      <c r="S23" s="8">
        <f t="shared" si="17"/>
        <v>300</v>
      </c>
      <c r="T23" s="8">
        <f t="shared" si="18"/>
        <v>350</v>
      </c>
      <c r="U23" s="8">
        <f t="shared" si="19"/>
        <v>400</v>
      </c>
      <c r="V23" s="11"/>
      <c r="W23" s="11"/>
      <c r="X23" s="11"/>
      <c r="Y23" s="9"/>
      <c r="Z23" s="14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2:40" x14ac:dyDescent="0.3">
      <c r="B24" s="1">
        <v>55</v>
      </c>
      <c r="C24" s="49">
        <f t="shared" si="22"/>
        <v>692.00000000000023</v>
      </c>
      <c r="D24" s="12">
        <v>-1.61E-2</v>
      </c>
      <c r="E24" s="5">
        <f t="shared" si="20"/>
        <v>1370.6000000000004</v>
      </c>
      <c r="G24" s="1">
        <v>55</v>
      </c>
      <c r="H24" s="49">
        <f t="shared" si="23"/>
        <v>2076.0000000000005</v>
      </c>
      <c r="I24" s="12">
        <v>-1.61E-2</v>
      </c>
      <c r="J24" s="5">
        <f t="shared" si="21"/>
        <v>4111.8</v>
      </c>
      <c r="K24" s="15"/>
      <c r="L24" s="17"/>
      <c r="M24" s="22">
        <v>21</v>
      </c>
      <c r="N24" s="18">
        <f t="shared" si="12"/>
        <v>71.428571428571431</v>
      </c>
      <c r="O24" s="7">
        <f t="shared" si="13"/>
        <v>95.238095238095241</v>
      </c>
      <c r="P24" s="7">
        <f t="shared" si="14"/>
        <v>142.85714285714286</v>
      </c>
      <c r="Q24" s="7">
        <f t="shared" si="15"/>
        <v>190.47619047619048</v>
      </c>
      <c r="R24" s="7">
        <f t="shared" si="16"/>
        <v>238.0952380952381</v>
      </c>
      <c r="S24" s="7">
        <f t="shared" si="17"/>
        <v>285.71428571428572</v>
      </c>
      <c r="T24" s="7">
        <f t="shared" si="18"/>
        <v>333.33333333333331</v>
      </c>
      <c r="U24" s="7">
        <f t="shared" si="19"/>
        <v>380.95238095238096</v>
      </c>
      <c r="V24" s="11"/>
      <c r="W24" s="11"/>
      <c r="X24" s="11"/>
      <c r="Y24" s="9"/>
      <c r="Z24" s="14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x14ac:dyDescent="0.3">
      <c r="B25" s="1">
        <v>60</v>
      </c>
      <c r="C25" s="49">
        <f t="shared" si="22"/>
        <v>892.00000000000023</v>
      </c>
      <c r="D25" s="2">
        <v>-1.3100000000000001E-2</v>
      </c>
      <c r="E25" s="4">
        <f t="shared" si="20"/>
        <v>1570.6000000000004</v>
      </c>
      <c r="G25" s="1">
        <v>60</v>
      </c>
      <c r="H25" s="49">
        <f t="shared" si="23"/>
        <v>2676.0000000000009</v>
      </c>
      <c r="I25" s="2">
        <v>-1.3100000000000001E-2</v>
      </c>
      <c r="J25" s="4">
        <f t="shared" si="21"/>
        <v>4711.8000000000011</v>
      </c>
      <c r="K25" s="15"/>
      <c r="L25" s="17"/>
      <c r="M25" s="22">
        <v>22</v>
      </c>
      <c r="N25" s="19">
        <f t="shared" si="12"/>
        <v>68.181818181818187</v>
      </c>
      <c r="O25" s="8">
        <f t="shared" si="13"/>
        <v>90.909090909090907</v>
      </c>
      <c r="P25" s="8">
        <f t="shared" si="14"/>
        <v>136.36363636363637</v>
      </c>
      <c r="Q25" s="8">
        <f t="shared" si="15"/>
        <v>181.81818181818181</v>
      </c>
      <c r="R25" s="8">
        <f t="shared" si="16"/>
        <v>227.27272727272728</v>
      </c>
      <c r="S25" s="8">
        <f t="shared" si="17"/>
        <v>272.72727272727275</v>
      </c>
      <c r="T25" s="8">
        <f t="shared" si="18"/>
        <v>318.18181818181819</v>
      </c>
      <c r="U25" s="8">
        <f t="shared" si="19"/>
        <v>363.63636363636363</v>
      </c>
      <c r="V25" s="11"/>
      <c r="W25" s="11"/>
      <c r="X25" s="11"/>
      <c r="Y25" s="9"/>
      <c r="Z25" s="14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2:40" x14ac:dyDescent="0.3">
      <c r="B26" s="6">
        <v>65</v>
      </c>
      <c r="C26" s="49">
        <f t="shared" si="22"/>
        <v>1092.0000000000002</v>
      </c>
      <c r="D26" s="12">
        <v>-1.0200000000000001E-2</v>
      </c>
      <c r="E26" s="5">
        <f t="shared" si="20"/>
        <v>1770.6000000000004</v>
      </c>
      <c r="G26" s="6">
        <v>65</v>
      </c>
      <c r="H26" s="49">
        <f t="shared" si="23"/>
        <v>3276.0000000000009</v>
      </c>
      <c r="I26" s="12">
        <v>-1.0200000000000001E-2</v>
      </c>
      <c r="J26" s="5">
        <f t="shared" si="21"/>
        <v>5311.8000000000011</v>
      </c>
      <c r="K26" s="15"/>
      <c r="L26" s="17"/>
      <c r="M26" s="22">
        <v>23</v>
      </c>
      <c r="N26" s="18">
        <f t="shared" si="12"/>
        <v>65.217391304347828</v>
      </c>
      <c r="O26" s="7">
        <f t="shared" si="13"/>
        <v>86.956521739130437</v>
      </c>
      <c r="P26" s="7">
        <f t="shared" si="14"/>
        <v>130.43478260869566</v>
      </c>
      <c r="Q26" s="7">
        <f t="shared" si="15"/>
        <v>173.91304347826087</v>
      </c>
      <c r="R26" s="7">
        <f t="shared" si="16"/>
        <v>217.39130434782609</v>
      </c>
      <c r="S26" s="7">
        <f t="shared" si="17"/>
        <v>260.86956521739131</v>
      </c>
      <c r="T26" s="7">
        <f t="shared" si="18"/>
        <v>304.3478260869565</v>
      </c>
      <c r="U26" s="7">
        <f t="shared" si="19"/>
        <v>347.82608695652175</v>
      </c>
      <c r="V26" s="11"/>
      <c r="W26" s="11"/>
      <c r="X26" s="11"/>
      <c r="Y26" s="9"/>
      <c r="Z26" s="14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2:40" x14ac:dyDescent="0.3">
      <c r="B27" s="1">
        <v>70</v>
      </c>
      <c r="C27" s="49">
        <f t="shared" si="22"/>
        <v>1292.0000000000002</v>
      </c>
      <c r="D27" s="2">
        <v>-7.1999999999999998E-3</v>
      </c>
      <c r="E27" s="4">
        <f t="shared" si="20"/>
        <v>1970.6000000000004</v>
      </c>
      <c r="G27" s="1">
        <v>70</v>
      </c>
      <c r="H27" s="49">
        <f t="shared" si="23"/>
        <v>3876.0000000000009</v>
      </c>
      <c r="I27" s="2">
        <v>-7.1999999999999998E-3</v>
      </c>
      <c r="J27" s="4">
        <f t="shared" si="21"/>
        <v>5911.8000000000011</v>
      </c>
      <c r="K27" s="15"/>
      <c r="L27" s="17"/>
      <c r="M27" s="22">
        <v>24</v>
      </c>
      <c r="N27" s="19">
        <f t="shared" si="12"/>
        <v>62.5</v>
      </c>
      <c r="O27" s="8">
        <f t="shared" si="13"/>
        <v>83.333333333333329</v>
      </c>
      <c r="P27" s="8">
        <f t="shared" si="14"/>
        <v>125</v>
      </c>
      <c r="Q27" s="8">
        <f t="shared" si="15"/>
        <v>166.66666666666666</v>
      </c>
      <c r="R27" s="8">
        <f t="shared" si="16"/>
        <v>208.33333333333334</v>
      </c>
      <c r="S27" s="8">
        <f t="shared" si="17"/>
        <v>250</v>
      </c>
      <c r="T27" s="8">
        <f t="shared" si="18"/>
        <v>291.66666666666669</v>
      </c>
      <c r="U27" s="8">
        <f t="shared" si="19"/>
        <v>333.33333333333331</v>
      </c>
      <c r="V27" s="11"/>
      <c r="W27" s="11"/>
      <c r="X27" s="11"/>
      <c r="Y27" s="9"/>
      <c r="Z27" s="14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2:40" x14ac:dyDescent="0.3">
      <c r="B28" s="1">
        <v>75</v>
      </c>
      <c r="C28" s="49">
        <f t="shared" si="22"/>
        <v>1492.0000000000002</v>
      </c>
      <c r="D28" s="12">
        <v>-4.3E-3</v>
      </c>
      <c r="E28" s="5">
        <f t="shared" si="20"/>
        <v>2170.6000000000004</v>
      </c>
      <c r="G28" s="1">
        <v>75</v>
      </c>
      <c r="H28" s="49">
        <f t="shared" si="23"/>
        <v>4476.0000000000009</v>
      </c>
      <c r="I28" s="12">
        <v>-4.3E-3</v>
      </c>
      <c r="J28" s="5">
        <f t="shared" si="21"/>
        <v>6511.8000000000011</v>
      </c>
      <c r="K28" s="15"/>
      <c r="L28" s="17"/>
      <c r="M28" s="22">
        <v>25</v>
      </c>
      <c r="N28" s="18">
        <f t="shared" si="12"/>
        <v>60</v>
      </c>
      <c r="O28" s="7">
        <f t="shared" si="13"/>
        <v>80</v>
      </c>
      <c r="P28" s="7">
        <f t="shared" si="14"/>
        <v>120</v>
      </c>
      <c r="Q28" s="7">
        <f t="shared" si="15"/>
        <v>160</v>
      </c>
      <c r="R28" s="7">
        <f t="shared" si="16"/>
        <v>200</v>
      </c>
      <c r="S28" s="7">
        <f t="shared" si="17"/>
        <v>240</v>
      </c>
      <c r="T28" s="7">
        <f t="shared" si="18"/>
        <v>280</v>
      </c>
      <c r="U28" s="7">
        <f t="shared" si="19"/>
        <v>320</v>
      </c>
      <c r="V28" s="11"/>
      <c r="W28" s="11"/>
      <c r="X28" s="11"/>
      <c r="Y28" s="9"/>
      <c r="Z28" s="14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2:40" x14ac:dyDescent="0.3">
      <c r="B29" s="6">
        <v>80</v>
      </c>
      <c r="C29" s="49">
        <f t="shared" si="22"/>
        <v>1692.0000000000002</v>
      </c>
      <c r="D29" s="2">
        <v>-1.2999999999999999E-3</v>
      </c>
      <c r="E29" s="4">
        <f t="shared" si="20"/>
        <v>2370.6000000000004</v>
      </c>
      <c r="G29" s="6">
        <v>80</v>
      </c>
      <c r="H29" s="49">
        <f t="shared" si="23"/>
        <v>5076.0000000000009</v>
      </c>
      <c r="I29" s="2">
        <v>-1.2999999999999999E-3</v>
      </c>
      <c r="J29" s="4">
        <f t="shared" si="21"/>
        <v>7111.8000000000011</v>
      </c>
      <c r="K29" s="15"/>
      <c r="L29" s="17"/>
      <c r="N29" s="9"/>
      <c r="O29" s="9"/>
      <c r="P29" s="9"/>
      <c r="Q29" s="9"/>
      <c r="R29" s="9"/>
      <c r="S29" s="9"/>
      <c r="T29" s="9"/>
      <c r="U29" s="9"/>
      <c r="V29" s="11"/>
      <c r="W29" s="11"/>
      <c r="X29" s="11"/>
      <c r="Y29" s="9"/>
      <c r="Z29" s="14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2:40" x14ac:dyDescent="0.3">
      <c r="B30" s="11"/>
      <c r="C30" s="11"/>
      <c r="D30" s="11"/>
      <c r="E30" s="11"/>
      <c r="G30" s="11"/>
      <c r="H30" s="11"/>
      <c r="I30" s="11"/>
      <c r="J30" s="11"/>
      <c r="K30" s="15"/>
      <c r="L30" s="17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9"/>
      <c r="Z30" s="14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2:40" ht="26.25" customHeight="1" x14ac:dyDescent="0.3">
      <c r="B31" s="38">
        <v>3000</v>
      </c>
      <c r="C31" s="39"/>
      <c r="D31" s="39"/>
      <c r="E31" s="40"/>
      <c r="G31" s="38">
        <v>7000</v>
      </c>
      <c r="H31" s="39"/>
      <c r="I31" s="39"/>
      <c r="J31" s="40"/>
      <c r="K31" s="15"/>
      <c r="L31" s="17"/>
      <c r="M31" s="31" t="s">
        <v>7</v>
      </c>
      <c r="N31" s="32">
        <v>4</v>
      </c>
      <c r="O31" s="30">
        <v>8</v>
      </c>
      <c r="P31" s="35" t="s">
        <v>11</v>
      </c>
      <c r="Q31" s="11"/>
      <c r="R31" s="11"/>
      <c r="S31" s="11"/>
      <c r="T31" s="11"/>
      <c r="U31" s="11"/>
      <c r="V31" s="11"/>
      <c r="W31" s="11"/>
      <c r="X31" s="11"/>
      <c r="Y31" s="9"/>
      <c r="Z31" s="14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2:40" x14ac:dyDescent="0.3">
      <c r="B32" s="1" t="s">
        <v>1</v>
      </c>
      <c r="C32" s="1" t="s">
        <v>0</v>
      </c>
      <c r="D32" s="1" t="s">
        <v>2</v>
      </c>
      <c r="E32" s="1" t="s">
        <v>5</v>
      </c>
      <c r="G32" s="1" t="s">
        <v>1</v>
      </c>
      <c r="H32" s="1" t="s">
        <v>0</v>
      </c>
      <c r="I32" s="1" t="s">
        <v>2</v>
      </c>
      <c r="J32" s="1" t="s">
        <v>5</v>
      </c>
      <c r="K32" s="15"/>
      <c r="L32" s="17"/>
      <c r="M32" s="33" t="s">
        <v>12</v>
      </c>
      <c r="N32" s="33">
        <f>N17</f>
        <v>1500</v>
      </c>
      <c r="O32" s="33">
        <f t="shared" ref="O32:U32" si="24">O17</f>
        <v>2000</v>
      </c>
      <c r="P32" s="33">
        <f t="shared" si="24"/>
        <v>3000</v>
      </c>
      <c r="Q32" s="33">
        <f t="shared" si="24"/>
        <v>4000</v>
      </c>
      <c r="R32" s="33">
        <f t="shared" si="24"/>
        <v>5000</v>
      </c>
      <c r="S32" s="33">
        <f t="shared" si="24"/>
        <v>6000</v>
      </c>
      <c r="T32" s="33">
        <f t="shared" si="24"/>
        <v>7000</v>
      </c>
      <c r="U32" s="33">
        <f t="shared" si="24"/>
        <v>8000</v>
      </c>
      <c r="V32" s="11"/>
      <c r="W32" s="11"/>
      <c r="X32" s="11"/>
      <c r="Y32" s="9"/>
      <c r="Z32" s="14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2:40" x14ac:dyDescent="0.3">
      <c r="B33" s="1">
        <v>30</v>
      </c>
      <c r="C33" s="49">
        <f>(((B33-($Y$6*$Y$9))*$B$31)/$Y$9)*$Y$8</f>
        <v>-461.99999999999977</v>
      </c>
      <c r="D33" s="2">
        <v>-3.09E-2</v>
      </c>
      <c r="E33" s="4">
        <f t="shared" ref="E33:E43" si="25">($B$31*$Y$6*$Y$7*$Y$8)+C33</f>
        <v>555.90000000000009</v>
      </c>
      <c r="G33" s="1">
        <v>30</v>
      </c>
      <c r="H33" s="49">
        <f>(((G33-($Y$6*$Y$9))*$G$31)/$Y$9)*$Y$8</f>
        <v>-1077.9999999999993</v>
      </c>
      <c r="I33" s="2">
        <v>-3.09E-2</v>
      </c>
      <c r="J33" s="4">
        <f t="shared" ref="J33:J43" si="26">($G$31*$Y$6*$Y$7*$Y$8)+H33</f>
        <v>1297.1000000000006</v>
      </c>
      <c r="K33" s="15"/>
      <c r="L33" s="17"/>
      <c r="M33" s="33">
        <v>15</v>
      </c>
      <c r="N33" s="20">
        <f t="shared" ref="N33:U43" si="27">N18/($N$31*$O$31)</f>
        <v>3.125</v>
      </c>
      <c r="O33" s="21">
        <f t="shared" si="27"/>
        <v>4.166666666666667</v>
      </c>
      <c r="P33" s="21">
        <f t="shared" si="27"/>
        <v>6.25</v>
      </c>
      <c r="Q33" s="21">
        <f t="shared" si="27"/>
        <v>8.3333333333333339</v>
      </c>
      <c r="R33" s="21">
        <f t="shared" si="27"/>
        <v>10.416666666666666</v>
      </c>
      <c r="S33" s="21">
        <f t="shared" si="27"/>
        <v>12.5</v>
      </c>
      <c r="T33" s="21">
        <f t="shared" si="27"/>
        <v>14.583333333333334</v>
      </c>
      <c r="U33" s="21">
        <f t="shared" si="27"/>
        <v>16.666666666666668</v>
      </c>
      <c r="V33" s="11"/>
      <c r="W33" s="11"/>
      <c r="X33" s="11"/>
      <c r="Y33" s="9"/>
      <c r="Z33" s="14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2:40" x14ac:dyDescent="0.3">
      <c r="B34" s="6">
        <v>35</v>
      </c>
      <c r="C34" s="49">
        <f t="shared" ref="C34:C43" si="28">(((B34-($Y$6*$Y$9))*$B$31)/$Y$9)*$Y$8</f>
        <v>-161.99999999999974</v>
      </c>
      <c r="D34" s="12">
        <v>-2.7900000000000001E-2</v>
      </c>
      <c r="E34" s="5">
        <f t="shared" si="25"/>
        <v>855.90000000000009</v>
      </c>
      <c r="G34" s="6">
        <v>35</v>
      </c>
      <c r="H34" s="49">
        <f t="shared" ref="H34:H43" si="29">(((G34-($Y$6*$Y$9))*$G$31)/$Y$9)*$Y$8</f>
        <v>-377.99999999999943</v>
      </c>
      <c r="I34" s="12">
        <v>-2.7900000000000001E-2</v>
      </c>
      <c r="J34" s="5">
        <f t="shared" si="26"/>
        <v>1997.1000000000004</v>
      </c>
      <c r="K34" s="15"/>
      <c r="L34" s="17"/>
      <c r="M34" s="33">
        <v>16</v>
      </c>
      <c r="N34" s="18">
        <f t="shared" si="27"/>
        <v>2.9296875</v>
      </c>
      <c r="O34" s="7">
        <f t="shared" si="27"/>
        <v>3.90625</v>
      </c>
      <c r="P34" s="7">
        <f t="shared" si="27"/>
        <v>5.859375</v>
      </c>
      <c r="Q34" s="7">
        <f t="shared" si="27"/>
        <v>7.8125</v>
      </c>
      <c r="R34" s="7">
        <f t="shared" si="27"/>
        <v>9.765625</v>
      </c>
      <c r="S34" s="7">
        <f t="shared" si="27"/>
        <v>11.71875</v>
      </c>
      <c r="T34" s="7">
        <f t="shared" si="27"/>
        <v>13.671875</v>
      </c>
      <c r="U34" s="7">
        <f t="shared" si="27"/>
        <v>15.625</v>
      </c>
      <c r="V34" s="11"/>
      <c r="W34" s="11"/>
      <c r="X34" s="11"/>
      <c r="Y34" s="9"/>
      <c r="Z34" s="14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2:40" x14ac:dyDescent="0.3">
      <c r="B35" s="1">
        <v>40</v>
      </c>
      <c r="C35" s="49">
        <f t="shared" si="28"/>
        <v>138.00000000000026</v>
      </c>
      <c r="D35" s="2">
        <v>-2.5000000000000001E-2</v>
      </c>
      <c r="E35" s="4">
        <f t="shared" si="25"/>
        <v>1155.9000000000001</v>
      </c>
      <c r="G35" s="1">
        <v>40</v>
      </c>
      <c r="H35" s="49">
        <f t="shared" si="29"/>
        <v>322.00000000000057</v>
      </c>
      <c r="I35" s="2">
        <v>-2.5000000000000001E-2</v>
      </c>
      <c r="J35" s="4">
        <f t="shared" si="26"/>
        <v>2697.1000000000004</v>
      </c>
      <c r="K35" s="15"/>
      <c r="L35" s="17"/>
      <c r="M35" s="33">
        <v>17</v>
      </c>
      <c r="N35" s="18">
        <f t="shared" si="27"/>
        <v>2.7573529411764706</v>
      </c>
      <c r="O35" s="7">
        <f t="shared" si="27"/>
        <v>3.6764705882352939</v>
      </c>
      <c r="P35" s="7">
        <f t="shared" si="27"/>
        <v>5.5147058823529411</v>
      </c>
      <c r="Q35" s="7">
        <f t="shared" si="27"/>
        <v>7.3529411764705879</v>
      </c>
      <c r="R35" s="7">
        <f t="shared" si="27"/>
        <v>9.1911764705882355</v>
      </c>
      <c r="S35" s="7">
        <f t="shared" si="27"/>
        <v>11.029411764705882</v>
      </c>
      <c r="T35" s="7">
        <f t="shared" si="27"/>
        <v>12.867647058823529</v>
      </c>
      <c r="U35" s="7">
        <f t="shared" si="27"/>
        <v>14.705882352941176</v>
      </c>
      <c r="V35" s="11"/>
      <c r="W35" s="11"/>
      <c r="X35" s="11"/>
      <c r="Y35" s="9"/>
      <c r="Z35" s="14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2:40" x14ac:dyDescent="0.3">
      <c r="B36" s="1">
        <v>45</v>
      </c>
      <c r="C36" s="49">
        <f t="shared" si="28"/>
        <v>438.00000000000023</v>
      </c>
      <c r="D36" s="12">
        <v>-2.1999999999999999E-2</v>
      </c>
      <c r="E36" s="5">
        <f t="shared" si="25"/>
        <v>1455.9</v>
      </c>
      <c r="G36" s="1">
        <v>45</v>
      </c>
      <c r="H36" s="49">
        <f t="shared" si="29"/>
        <v>1022.0000000000006</v>
      </c>
      <c r="I36" s="12">
        <v>-2.1999999999999999E-2</v>
      </c>
      <c r="J36" s="5">
        <f t="shared" si="26"/>
        <v>3397.1000000000004</v>
      </c>
      <c r="K36" s="15"/>
      <c r="L36" s="17"/>
      <c r="M36" s="33">
        <v>18</v>
      </c>
      <c r="N36" s="18">
        <f t="shared" si="27"/>
        <v>2.6041666666666665</v>
      </c>
      <c r="O36" s="7">
        <f t="shared" si="27"/>
        <v>3.4722222222222223</v>
      </c>
      <c r="P36" s="7">
        <f t="shared" si="27"/>
        <v>5.208333333333333</v>
      </c>
      <c r="Q36" s="7">
        <f t="shared" si="27"/>
        <v>6.9444444444444446</v>
      </c>
      <c r="R36" s="7">
        <f t="shared" si="27"/>
        <v>8.6805555555555554</v>
      </c>
      <c r="S36" s="7">
        <f t="shared" si="27"/>
        <v>10.416666666666666</v>
      </c>
      <c r="T36" s="7">
        <f t="shared" si="27"/>
        <v>12.152777777777779</v>
      </c>
      <c r="U36" s="7">
        <f t="shared" si="27"/>
        <v>13.888888888888889</v>
      </c>
      <c r="V36" s="11"/>
      <c r="W36" s="11"/>
      <c r="X36" s="11"/>
      <c r="Y36" s="9"/>
      <c r="Z36" s="14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2:40" x14ac:dyDescent="0.3">
      <c r="B37" s="6">
        <v>50</v>
      </c>
      <c r="C37" s="49">
        <f t="shared" si="28"/>
        <v>738.00000000000023</v>
      </c>
      <c r="D37" s="2">
        <v>-1.9E-2</v>
      </c>
      <c r="E37" s="4">
        <f t="shared" si="25"/>
        <v>1755.9</v>
      </c>
      <c r="G37" s="6">
        <v>50</v>
      </c>
      <c r="H37" s="49">
        <f t="shared" si="29"/>
        <v>1722.0000000000005</v>
      </c>
      <c r="I37" s="2">
        <v>-1.9E-2</v>
      </c>
      <c r="J37" s="4">
        <f t="shared" si="26"/>
        <v>4097.1000000000004</v>
      </c>
      <c r="K37" s="15"/>
      <c r="L37" s="17"/>
      <c r="M37" s="33">
        <v>19</v>
      </c>
      <c r="N37" s="18">
        <f t="shared" si="27"/>
        <v>2.4671052631578947</v>
      </c>
      <c r="O37" s="7">
        <f t="shared" si="27"/>
        <v>3.2894736842105261</v>
      </c>
      <c r="P37" s="7">
        <f t="shared" si="27"/>
        <v>4.9342105263157894</v>
      </c>
      <c r="Q37" s="7">
        <f t="shared" si="27"/>
        <v>6.5789473684210522</v>
      </c>
      <c r="R37" s="7">
        <f t="shared" si="27"/>
        <v>8.223684210526315</v>
      </c>
      <c r="S37" s="7">
        <f t="shared" si="27"/>
        <v>9.8684210526315788</v>
      </c>
      <c r="T37" s="7">
        <f t="shared" si="27"/>
        <v>11.513157894736842</v>
      </c>
      <c r="U37" s="7">
        <f t="shared" si="27"/>
        <v>13.157894736842104</v>
      </c>
      <c r="V37" s="11"/>
      <c r="W37" s="37" t="s">
        <v>14</v>
      </c>
      <c r="X37" s="11"/>
      <c r="Y37" s="9"/>
      <c r="Z37" s="14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2:40" x14ac:dyDescent="0.3">
      <c r="B38" s="1">
        <v>55</v>
      </c>
      <c r="C38" s="49">
        <f t="shared" si="28"/>
        <v>1038.0000000000002</v>
      </c>
      <c r="D38" s="12">
        <v>-1.61E-2</v>
      </c>
      <c r="E38" s="5">
        <f t="shared" si="25"/>
        <v>2055.9</v>
      </c>
      <c r="G38" s="1">
        <v>55</v>
      </c>
      <c r="H38" s="49">
        <f t="shared" si="29"/>
        <v>2422.0000000000005</v>
      </c>
      <c r="I38" s="12">
        <v>-1.61E-2</v>
      </c>
      <c r="J38" s="5">
        <f t="shared" si="26"/>
        <v>4797.1000000000004</v>
      </c>
      <c r="K38" s="15"/>
      <c r="L38" s="17"/>
      <c r="M38" s="33">
        <v>20</v>
      </c>
      <c r="N38" s="18">
        <f t="shared" si="27"/>
        <v>2.34375</v>
      </c>
      <c r="O38" s="7">
        <f t="shared" si="27"/>
        <v>3.125</v>
      </c>
      <c r="P38" s="7">
        <f t="shared" si="27"/>
        <v>4.6875</v>
      </c>
      <c r="Q38" s="7">
        <f t="shared" si="27"/>
        <v>6.25</v>
      </c>
      <c r="R38" s="7">
        <f t="shared" si="27"/>
        <v>7.8125</v>
      </c>
      <c r="S38" s="7">
        <f t="shared" si="27"/>
        <v>9.375</v>
      </c>
      <c r="T38" s="7">
        <f t="shared" si="27"/>
        <v>10.9375</v>
      </c>
      <c r="U38" s="7">
        <f t="shared" si="27"/>
        <v>12.5</v>
      </c>
      <c r="V38" s="11"/>
      <c r="W38" s="11"/>
      <c r="X38" s="11"/>
      <c r="Y38" s="9"/>
      <c r="Z38" s="14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2:40" x14ac:dyDescent="0.3">
      <c r="B39" s="1">
        <v>60</v>
      </c>
      <c r="C39" s="49">
        <f t="shared" si="28"/>
        <v>1338.0000000000005</v>
      </c>
      <c r="D39" s="2">
        <v>-1.3100000000000001E-2</v>
      </c>
      <c r="E39" s="4">
        <f t="shared" si="25"/>
        <v>2355.9000000000005</v>
      </c>
      <c r="G39" s="1">
        <v>60</v>
      </c>
      <c r="H39" s="49">
        <f t="shared" si="29"/>
        <v>3122.0000000000005</v>
      </c>
      <c r="I39" s="2">
        <v>-1.3100000000000001E-2</v>
      </c>
      <c r="J39" s="4">
        <f t="shared" si="26"/>
        <v>5497.1</v>
      </c>
      <c r="K39" s="15"/>
      <c r="L39" s="17"/>
      <c r="M39" s="33">
        <v>21</v>
      </c>
      <c r="N39" s="18">
        <f t="shared" si="27"/>
        <v>2.2321428571428572</v>
      </c>
      <c r="O39" s="7">
        <f t="shared" si="27"/>
        <v>2.9761904761904763</v>
      </c>
      <c r="P39" s="7">
        <f t="shared" si="27"/>
        <v>4.4642857142857144</v>
      </c>
      <c r="Q39" s="7">
        <f t="shared" si="27"/>
        <v>5.9523809523809526</v>
      </c>
      <c r="R39" s="7">
        <f>R24/($N$31*$O$31)</f>
        <v>7.4404761904761907</v>
      </c>
      <c r="S39" s="7">
        <f t="shared" si="27"/>
        <v>8.9285714285714288</v>
      </c>
      <c r="T39" s="7">
        <f t="shared" si="27"/>
        <v>10.416666666666666</v>
      </c>
      <c r="U39" s="7">
        <f t="shared" si="27"/>
        <v>11.904761904761905</v>
      </c>
      <c r="V39" s="11"/>
      <c r="W39" s="11"/>
      <c r="X39" s="11"/>
      <c r="Y39" s="9"/>
      <c r="Z39" s="14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2:40" x14ac:dyDescent="0.3">
      <c r="B40" s="6">
        <v>65</v>
      </c>
      <c r="C40" s="49">
        <f t="shared" si="28"/>
        <v>1638.0000000000005</v>
      </c>
      <c r="D40" s="12">
        <v>-1.0200000000000001E-2</v>
      </c>
      <c r="E40" s="5">
        <f t="shared" si="25"/>
        <v>2655.9000000000005</v>
      </c>
      <c r="G40" s="6">
        <v>65</v>
      </c>
      <c r="H40" s="49">
        <f t="shared" si="29"/>
        <v>3822.0000000000005</v>
      </c>
      <c r="I40" s="12">
        <v>-1.0200000000000001E-2</v>
      </c>
      <c r="J40" s="5">
        <f t="shared" si="26"/>
        <v>6197.1</v>
      </c>
      <c r="K40" s="15"/>
      <c r="L40" s="17"/>
      <c r="M40" s="33">
        <v>22</v>
      </c>
      <c r="N40" s="18">
        <f t="shared" si="27"/>
        <v>2.1306818181818183</v>
      </c>
      <c r="O40" s="7">
        <f t="shared" si="27"/>
        <v>2.8409090909090908</v>
      </c>
      <c r="P40" s="7">
        <f t="shared" si="27"/>
        <v>4.2613636363636367</v>
      </c>
      <c r="Q40" s="7">
        <f t="shared" si="27"/>
        <v>5.6818181818181817</v>
      </c>
      <c r="R40" s="7">
        <f t="shared" si="27"/>
        <v>7.1022727272727275</v>
      </c>
      <c r="S40" s="7">
        <f t="shared" si="27"/>
        <v>8.5227272727272734</v>
      </c>
      <c r="T40" s="7">
        <f t="shared" si="27"/>
        <v>9.9431818181818183</v>
      </c>
      <c r="U40" s="7">
        <f t="shared" si="27"/>
        <v>11.363636363636363</v>
      </c>
      <c r="V40" s="11"/>
      <c r="W40" s="11"/>
      <c r="X40" s="11"/>
      <c r="Y40" s="9"/>
      <c r="Z40" s="14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2:40" x14ac:dyDescent="0.3">
      <c r="B41" s="1">
        <v>70</v>
      </c>
      <c r="C41" s="49">
        <f t="shared" si="28"/>
        <v>1938.0000000000005</v>
      </c>
      <c r="D41" s="2">
        <v>-7.1999999999999998E-3</v>
      </c>
      <c r="E41" s="4">
        <f t="shared" si="25"/>
        <v>2955.9000000000005</v>
      </c>
      <c r="G41" s="1">
        <v>70</v>
      </c>
      <c r="H41" s="49">
        <f t="shared" si="29"/>
        <v>4522</v>
      </c>
      <c r="I41" s="2">
        <v>-7.1999999999999998E-3</v>
      </c>
      <c r="J41" s="4">
        <f t="shared" si="26"/>
        <v>6897.1</v>
      </c>
      <c r="K41" s="15"/>
      <c r="L41" s="17"/>
      <c r="M41" s="33">
        <v>23</v>
      </c>
      <c r="N41" s="18">
        <f t="shared" si="27"/>
        <v>2.0380434782608696</v>
      </c>
      <c r="O41" s="7">
        <f t="shared" si="27"/>
        <v>2.7173913043478262</v>
      </c>
      <c r="P41" s="7">
        <f t="shared" si="27"/>
        <v>4.0760869565217392</v>
      </c>
      <c r="Q41" s="7">
        <f t="shared" si="27"/>
        <v>5.4347826086956523</v>
      </c>
      <c r="R41" s="7">
        <f t="shared" si="27"/>
        <v>6.7934782608695654</v>
      </c>
      <c r="S41" s="7">
        <f t="shared" si="27"/>
        <v>8.1521739130434785</v>
      </c>
      <c r="T41" s="7">
        <f t="shared" si="27"/>
        <v>9.5108695652173907</v>
      </c>
      <c r="U41" s="7">
        <f t="shared" si="27"/>
        <v>10.869565217391305</v>
      </c>
      <c r="V41" s="11"/>
      <c r="W41" s="11"/>
      <c r="X41" s="11"/>
      <c r="Y41" s="9"/>
      <c r="Z41" s="14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2:40" x14ac:dyDescent="0.3">
      <c r="B42" s="1">
        <v>75</v>
      </c>
      <c r="C42" s="49">
        <f t="shared" si="28"/>
        <v>2238.0000000000005</v>
      </c>
      <c r="D42" s="12">
        <v>-4.3E-3</v>
      </c>
      <c r="E42" s="5">
        <f t="shared" si="25"/>
        <v>3255.9000000000005</v>
      </c>
      <c r="G42" s="1">
        <v>75</v>
      </c>
      <c r="H42" s="49">
        <f t="shared" si="29"/>
        <v>5222</v>
      </c>
      <c r="I42" s="12">
        <v>-4.3E-3</v>
      </c>
      <c r="J42" s="5">
        <f t="shared" si="26"/>
        <v>7597.1</v>
      </c>
      <c r="K42" s="15"/>
      <c r="L42" s="17"/>
      <c r="M42" s="33">
        <v>24</v>
      </c>
      <c r="N42" s="18">
        <f t="shared" si="27"/>
        <v>1.953125</v>
      </c>
      <c r="O42" s="7">
        <f t="shared" si="27"/>
        <v>2.6041666666666665</v>
      </c>
      <c r="P42" s="7">
        <f t="shared" si="27"/>
        <v>3.90625</v>
      </c>
      <c r="Q42" s="7">
        <f t="shared" si="27"/>
        <v>5.208333333333333</v>
      </c>
      <c r="R42" s="7">
        <f t="shared" si="27"/>
        <v>6.510416666666667</v>
      </c>
      <c r="S42" s="7">
        <f t="shared" si="27"/>
        <v>7.8125</v>
      </c>
      <c r="T42" s="7">
        <f t="shared" si="27"/>
        <v>9.1145833333333339</v>
      </c>
      <c r="U42" s="7">
        <f t="shared" si="27"/>
        <v>10.416666666666666</v>
      </c>
      <c r="V42" s="11"/>
      <c r="W42" s="11"/>
      <c r="X42" s="11"/>
      <c r="Y42" s="9"/>
      <c r="Z42" s="14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2:40" x14ac:dyDescent="0.3">
      <c r="B43" s="6">
        <v>80</v>
      </c>
      <c r="C43" s="49">
        <f t="shared" si="28"/>
        <v>2538.0000000000005</v>
      </c>
      <c r="D43" s="2">
        <v>-1.2999999999999999E-3</v>
      </c>
      <c r="E43" s="4">
        <f t="shared" si="25"/>
        <v>3555.9000000000005</v>
      </c>
      <c r="G43" s="6">
        <v>80</v>
      </c>
      <c r="H43" s="49">
        <f t="shared" si="29"/>
        <v>5922.0000000000018</v>
      </c>
      <c r="I43" s="2">
        <v>-1.2999999999999999E-3</v>
      </c>
      <c r="J43" s="4">
        <f t="shared" si="26"/>
        <v>8297.1000000000022</v>
      </c>
      <c r="K43" s="15"/>
      <c r="L43" s="17"/>
      <c r="M43" s="33">
        <v>25</v>
      </c>
      <c r="N43" s="18">
        <f t="shared" si="27"/>
        <v>1.875</v>
      </c>
      <c r="O43" s="7">
        <f t="shared" si="27"/>
        <v>2.5</v>
      </c>
      <c r="P43" s="7">
        <f t="shared" si="27"/>
        <v>3.75</v>
      </c>
      <c r="Q43" s="7">
        <f t="shared" si="27"/>
        <v>5</v>
      </c>
      <c r="R43" s="7">
        <f t="shared" si="27"/>
        <v>6.25</v>
      </c>
      <c r="S43" s="7">
        <f t="shared" si="27"/>
        <v>7.5</v>
      </c>
      <c r="T43" s="7">
        <f t="shared" si="27"/>
        <v>8.75</v>
      </c>
      <c r="U43" s="7">
        <f t="shared" si="27"/>
        <v>10</v>
      </c>
      <c r="V43" s="11"/>
      <c r="W43" s="11"/>
      <c r="X43" s="11"/>
      <c r="Y43" s="9"/>
      <c r="Z43" s="14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2:40" x14ac:dyDescent="0.3">
      <c r="B44" s="11"/>
      <c r="C44" s="11"/>
      <c r="D44" s="11"/>
      <c r="E44" s="11"/>
      <c r="G44" s="11"/>
      <c r="H44" s="11"/>
      <c r="I44" s="11"/>
      <c r="J44" s="11"/>
      <c r="K44" s="15"/>
      <c r="L44" s="17"/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9"/>
      <c r="Z44" s="14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2:40" ht="26.25" customHeight="1" x14ac:dyDescent="0.3">
      <c r="B45" s="38">
        <v>4000</v>
      </c>
      <c r="C45" s="39"/>
      <c r="D45" s="39"/>
      <c r="E45" s="40"/>
      <c r="G45" s="38">
        <v>8000</v>
      </c>
      <c r="H45" s="39"/>
      <c r="I45" s="39"/>
      <c r="J45" s="40"/>
      <c r="K45" s="15"/>
      <c r="L45" s="17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9"/>
      <c r="Z45" s="14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2:40" x14ac:dyDescent="0.3">
      <c r="B46" s="1" t="s">
        <v>1</v>
      </c>
      <c r="C46" s="1" t="s">
        <v>0</v>
      </c>
      <c r="D46" s="1" t="s">
        <v>2</v>
      </c>
      <c r="E46" s="1" t="s">
        <v>5</v>
      </c>
      <c r="G46" s="1" t="s">
        <v>1</v>
      </c>
      <c r="H46" s="1" t="s">
        <v>0</v>
      </c>
      <c r="I46" s="1" t="s">
        <v>2</v>
      </c>
      <c r="J46" s="1" t="s">
        <v>5</v>
      </c>
      <c r="K46" s="15"/>
      <c r="L46" s="17"/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9"/>
      <c r="Y46" s="9"/>
      <c r="Z46" s="14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2:40" x14ac:dyDescent="0.3">
      <c r="B47" s="1">
        <v>30</v>
      </c>
      <c r="C47" s="49">
        <f>(((B47-($Y$6*$Y$9))*$B$45)/$Y$9)*$Y$8</f>
        <v>-615.99999999999966</v>
      </c>
      <c r="D47" s="2">
        <v>-3.09E-2</v>
      </c>
      <c r="E47" s="4">
        <f t="shared" ref="E47:E57" si="30">($B$45*$Y$6*$Y$7*$Y$8)+C47</f>
        <v>741.20000000000039</v>
      </c>
      <c r="G47" s="1">
        <v>30</v>
      </c>
      <c r="H47" s="49">
        <f>(((G47-($Y$6*$Y$9))*$G$45)/$Y$9)*$Y$8</f>
        <v>-1231.9999999999993</v>
      </c>
      <c r="I47" s="2">
        <v>-3.09E-2</v>
      </c>
      <c r="J47" s="4">
        <f t="shared" ref="J47:J57" si="31">($G$45*$Y$6*$Y$7*$Y$8)+H47</f>
        <v>1482.4000000000008</v>
      </c>
      <c r="K47" s="15"/>
      <c r="L47" s="17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9"/>
      <c r="Y47" s="9"/>
      <c r="Z47" s="14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2:40" x14ac:dyDescent="0.3">
      <c r="B48" s="6">
        <v>35</v>
      </c>
      <c r="C48" s="49">
        <f t="shared" ref="C48:C57" si="32">(((B48-($Y$6*$Y$9))*$B$45)/$Y$9)*$Y$8</f>
        <v>-215.99999999999966</v>
      </c>
      <c r="D48" s="12">
        <v>-2.7900000000000001E-2</v>
      </c>
      <c r="E48" s="5">
        <f t="shared" si="30"/>
        <v>1141.2000000000003</v>
      </c>
      <c r="G48" s="6">
        <v>35</v>
      </c>
      <c r="H48" s="49">
        <f t="shared" ref="H48:H57" si="33">(((G48-($Y$6*$Y$9))*$G$45)/$Y$9)*$Y$8</f>
        <v>-431.99999999999932</v>
      </c>
      <c r="I48" s="12">
        <v>-2.7900000000000001E-2</v>
      </c>
      <c r="J48" s="5">
        <f t="shared" si="31"/>
        <v>2282.4000000000005</v>
      </c>
      <c r="K48" s="15"/>
      <c r="L48" s="17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9"/>
      <c r="Y48" s="9"/>
      <c r="Z48" s="14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2:40" x14ac:dyDescent="0.3">
      <c r="B49" s="1">
        <v>40</v>
      </c>
      <c r="C49" s="49">
        <f t="shared" si="32"/>
        <v>184.00000000000034</v>
      </c>
      <c r="D49" s="2">
        <v>-2.5000000000000001E-2</v>
      </c>
      <c r="E49" s="4">
        <f t="shared" si="30"/>
        <v>1541.2000000000003</v>
      </c>
      <c r="G49" s="1">
        <v>40</v>
      </c>
      <c r="H49" s="49">
        <f t="shared" si="33"/>
        <v>368.00000000000068</v>
      </c>
      <c r="I49" s="2">
        <v>-2.5000000000000001E-2</v>
      </c>
      <c r="J49" s="4">
        <f t="shared" si="31"/>
        <v>3082.4000000000005</v>
      </c>
      <c r="K49" s="15"/>
      <c r="L49" s="17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9"/>
      <c r="Y49" s="9"/>
      <c r="Z49" s="14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2:40" x14ac:dyDescent="0.3">
      <c r="B50" s="1">
        <v>45</v>
      </c>
      <c r="C50" s="49">
        <f t="shared" si="32"/>
        <v>584.00000000000034</v>
      </c>
      <c r="D50" s="12">
        <v>-2.1999999999999999E-2</v>
      </c>
      <c r="E50" s="5">
        <f t="shared" si="30"/>
        <v>1941.2000000000003</v>
      </c>
      <c r="G50" s="1">
        <v>45</v>
      </c>
      <c r="H50" s="49">
        <f t="shared" si="33"/>
        <v>1168.0000000000007</v>
      </c>
      <c r="I50" s="12">
        <v>-2.1999999999999999E-2</v>
      </c>
      <c r="J50" s="5">
        <f t="shared" si="31"/>
        <v>3882.4000000000005</v>
      </c>
      <c r="K50" s="15"/>
      <c r="L50" s="17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9"/>
      <c r="Y50" s="9"/>
      <c r="Z50" s="14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2:40" x14ac:dyDescent="0.3">
      <c r="B51" s="6">
        <v>50</v>
      </c>
      <c r="C51" s="49">
        <f t="shared" si="32"/>
        <v>984.00000000000034</v>
      </c>
      <c r="D51" s="2">
        <v>-1.9E-2</v>
      </c>
      <c r="E51" s="4">
        <f t="shared" si="30"/>
        <v>2341.2000000000003</v>
      </c>
      <c r="G51" s="6">
        <v>50</v>
      </c>
      <c r="H51" s="49">
        <f t="shared" si="33"/>
        <v>1968.0000000000007</v>
      </c>
      <c r="I51" s="2">
        <v>-1.9E-2</v>
      </c>
      <c r="J51" s="4">
        <f t="shared" si="31"/>
        <v>4682.4000000000005</v>
      </c>
      <c r="K51" s="15"/>
      <c r="L51" s="17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9"/>
      <c r="Y51" s="9"/>
      <c r="Z51" s="14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2:40" x14ac:dyDescent="0.3">
      <c r="B52" s="1">
        <v>55</v>
      </c>
      <c r="C52" s="49">
        <f t="shared" si="32"/>
        <v>1384.0000000000005</v>
      </c>
      <c r="D52" s="12">
        <v>-1.61E-2</v>
      </c>
      <c r="E52" s="5">
        <f t="shared" si="30"/>
        <v>2741.2000000000007</v>
      </c>
      <c r="G52" s="1">
        <v>55</v>
      </c>
      <c r="H52" s="49">
        <f t="shared" si="33"/>
        <v>2768.0000000000009</v>
      </c>
      <c r="I52" s="12">
        <v>-1.61E-2</v>
      </c>
      <c r="J52" s="5">
        <f t="shared" si="31"/>
        <v>5482.4000000000015</v>
      </c>
      <c r="K52" s="15"/>
      <c r="L52" s="17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9"/>
      <c r="Y52" s="9"/>
      <c r="Z52" s="14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2:40" x14ac:dyDescent="0.3">
      <c r="B53" s="1">
        <v>60</v>
      </c>
      <c r="C53" s="49">
        <f t="shared" si="32"/>
        <v>1784.0000000000005</v>
      </c>
      <c r="D53" s="2">
        <v>-1.3100000000000001E-2</v>
      </c>
      <c r="E53" s="4">
        <f t="shared" si="30"/>
        <v>3141.2000000000007</v>
      </c>
      <c r="G53" s="1">
        <v>60</v>
      </c>
      <c r="H53" s="49">
        <f t="shared" si="33"/>
        <v>3568.0000000000009</v>
      </c>
      <c r="I53" s="2">
        <v>-1.3100000000000001E-2</v>
      </c>
      <c r="J53" s="4">
        <f t="shared" si="31"/>
        <v>6282.4000000000015</v>
      </c>
      <c r="K53" s="15"/>
      <c r="L53" s="17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9"/>
      <c r="Y53" s="9"/>
      <c r="Z53" s="14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2:40" x14ac:dyDescent="0.3">
      <c r="B54" s="6">
        <v>65</v>
      </c>
      <c r="C54" s="49">
        <f t="shared" si="32"/>
        <v>2184.0000000000005</v>
      </c>
      <c r="D54" s="12">
        <v>-1.0200000000000001E-2</v>
      </c>
      <c r="E54" s="5">
        <f t="shared" si="30"/>
        <v>3541.2000000000007</v>
      </c>
      <c r="G54" s="6">
        <v>65</v>
      </c>
      <c r="H54" s="49">
        <f t="shared" si="33"/>
        <v>4368.0000000000009</v>
      </c>
      <c r="I54" s="12">
        <v>-1.0200000000000001E-2</v>
      </c>
      <c r="J54" s="5">
        <f t="shared" si="31"/>
        <v>7082.4000000000015</v>
      </c>
      <c r="K54" s="15"/>
      <c r="L54" s="17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9"/>
      <c r="Y54" s="9"/>
      <c r="Z54" s="14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2:40" x14ac:dyDescent="0.3">
      <c r="B55" s="1">
        <v>70</v>
      </c>
      <c r="C55" s="49">
        <f t="shared" si="32"/>
        <v>2584.0000000000005</v>
      </c>
      <c r="D55" s="2">
        <v>-7.1999999999999998E-3</v>
      </c>
      <c r="E55" s="4">
        <f t="shared" si="30"/>
        <v>3941.2000000000007</v>
      </c>
      <c r="G55" s="1">
        <v>70</v>
      </c>
      <c r="H55" s="49">
        <f t="shared" si="33"/>
        <v>5168.0000000000009</v>
      </c>
      <c r="I55" s="2">
        <v>-7.1999999999999998E-3</v>
      </c>
      <c r="J55" s="4">
        <f t="shared" si="31"/>
        <v>7882.4000000000015</v>
      </c>
      <c r="K55" s="15"/>
      <c r="L55" s="17"/>
      <c r="M55" s="9"/>
      <c r="N55" s="9"/>
      <c r="O55" s="9"/>
      <c r="P55" s="11"/>
      <c r="Q55" s="11"/>
      <c r="R55" s="11"/>
      <c r="S55" s="9"/>
      <c r="T55" s="9"/>
      <c r="U55" s="9"/>
      <c r="V55" s="9"/>
      <c r="W55" s="9"/>
      <c r="X55" s="9"/>
      <c r="Y55" s="9"/>
      <c r="Z55" s="14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2:40" x14ac:dyDescent="0.3">
      <c r="B56" s="1">
        <v>75</v>
      </c>
      <c r="C56" s="49">
        <f t="shared" si="32"/>
        <v>2984.0000000000005</v>
      </c>
      <c r="D56" s="12">
        <v>-4.3E-3</v>
      </c>
      <c r="E56" s="5">
        <f t="shared" si="30"/>
        <v>4341.2000000000007</v>
      </c>
      <c r="G56" s="1">
        <v>75</v>
      </c>
      <c r="H56" s="49">
        <f t="shared" si="33"/>
        <v>5968.0000000000009</v>
      </c>
      <c r="I56" s="12">
        <v>-4.3E-3</v>
      </c>
      <c r="J56" s="5">
        <f t="shared" si="31"/>
        <v>8682.4000000000015</v>
      </c>
      <c r="K56" s="15"/>
      <c r="L56" s="17"/>
      <c r="M56" s="9"/>
      <c r="N56" s="9"/>
      <c r="O56" s="9"/>
      <c r="P56" s="11"/>
      <c r="Q56" s="11"/>
      <c r="R56" s="11"/>
      <c r="S56" s="9"/>
      <c r="T56" s="9"/>
      <c r="U56" s="9"/>
      <c r="V56" s="9"/>
      <c r="W56" s="9"/>
      <c r="X56" s="9"/>
      <c r="Y56" s="9"/>
      <c r="Z56" s="14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2:40" x14ac:dyDescent="0.3">
      <c r="B57" s="6">
        <v>80</v>
      </c>
      <c r="C57" s="49">
        <f t="shared" si="32"/>
        <v>3384.0000000000005</v>
      </c>
      <c r="D57" s="2">
        <v>-1.2999999999999999E-3</v>
      </c>
      <c r="E57" s="4">
        <f t="shared" si="30"/>
        <v>4741.2000000000007</v>
      </c>
      <c r="G57" s="6">
        <v>80</v>
      </c>
      <c r="H57" s="49">
        <f t="shared" si="33"/>
        <v>6768.0000000000009</v>
      </c>
      <c r="I57" s="2">
        <v>-1.2999999999999999E-3</v>
      </c>
      <c r="J57" s="4">
        <f t="shared" si="31"/>
        <v>9482.4000000000015</v>
      </c>
      <c r="K57" s="15"/>
      <c r="L57" s="17"/>
      <c r="M57" s="9"/>
      <c r="N57" s="9"/>
      <c r="O57" s="9"/>
      <c r="P57" s="11"/>
      <c r="Q57" s="11"/>
      <c r="R57" s="11"/>
      <c r="S57" s="9"/>
      <c r="T57" s="9"/>
      <c r="U57" s="9"/>
      <c r="V57" s="9"/>
      <c r="W57" s="9"/>
      <c r="X57" s="9"/>
      <c r="Y57" s="9"/>
      <c r="Z57" s="14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2:40" x14ac:dyDescent="0.3">
      <c r="B58" s="11"/>
      <c r="C58" s="11"/>
      <c r="D58" s="11"/>
      <c r="E58" s="11"/>
      <c r="G58" s="11"/>
      <c r="H58" s="11"/>
      <c r="I58" s="11"/>
      <c r="J58" s="11"/>
      <c r="K58" s="15"/>
      <c r="L58" s="17"/>
      <c r="M58" s="9"/>
      <c r="N58" s="9"/>
      <c r="O58" s="9"/>
      <c r="P58" s="11"/>
      <c r="Q58" s="11"/>
      <c r="R58" s="11"/>
      <c r="S58" s="9"/>
      <c r="T58" s="9"/>
      <c r="U58" s="9"/>
      <c r="V58" s="9"/>
      <c r="W58" s="9"/>
      <c r="X58" s="9"/>
      <c r="Y58" s="9"/>
      <c r="Z58" s="14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2:40" x14ac:dyDescent="0.3">
      <c r="B59" s="11"/>
      <c r="C59" s="11"/>
      <c r="D59" s="11"/>
      <c r="E59" s="11"/>
      <c r="G59" s="11"/>
      <c r="H59" s="11"/>
      <c r="I59" s="11"/>
      <c r="J59" s="11"/>
      <c r="K59" s="15"/>
      <c r="L59" s="17"/>
      <c r="M59" s="9"/>
      <c r="N59" s="9"/>
      <c r="O59" s="9"/>
      <c r="P59" s="11"/>
      <c r="Q59" s="11"/>
      <c r="R59" s="11"/>
      <c r="S59" s="9"/>
      <c r="T59" s="9"/>
      <c r="U59" s="9"/>
      <c r="V59" s="9"/>
      <c r="W59" s="9"/>
      <c r="X59" s="9"/>
      <c r="Y59" s="9"/>
      <c r="Z59" s="14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2:40" x14ac:dyDescent="0.3">
      <c r="B60" s="11"/>
      <c r="C60" s="11"/>
      <c r="D60" s="11"/>
      <c r="E60" s="11"/>
      <c r="G60" s="11"/>
      <c r="H60" s="11"/>
      <c r="I60" s="11"/>
      <c r="J60" s="11"/>
      <c r="K60" s="15"/>
      <c r="L60" s="17"/>
      <c r="M60" s="9"/>
      <c r="N60" s="9"/>
      <c r="O60" s="9"/>
      <c r="P60" s="11"/>
      <c r="Q60" s="11"/>
      <c r="R60" s="11"/>
      <c r="S60" s="9"/>
      <c r="T60" s="9"/>
      <c r="U60" s="9"/>
      <c r="V60" s="9"/>
      <c r="W60" s="9"/>
      <c r="X60" s="9"/>
      <c r="Y60" s="9"/>
      <c r="Z60" s="14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2:40" x14ac:dyDescent="0.3">
      <c r="B61" s="11"/>
      <c r="C61" s="11"/>
      <c r="D61" s="11"/>
      <c r="E61" s="11"/>
      <c r="G61" s="11"/>
      <c r="H61" s="11"/>
      <c r="I61" s="11"/>
      <c r="J61" s="11"/>
      <c r="K61" s="15"/>
      <c r="L61" s="17"/>
      <c r="M61" s="9"/>
      <c r="N61" s="9"/>
      <c r="O61" s="9"/>
      <c r="P61" s="11"/>
      <c r="Q61" s="11"/>
      <c r="R61" s="11"/>
      <c r="S61" s="9"/>
      <c r="T61" s="9"/>
      <c r="U61" s="9"/>
      <c r="V61" s="9"/>
      <c r="W61" s="9"/>
      <c r="X61" s="9"/>
      <c r="Y61" s="9"/>
      <c r="Z61" s="14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2:40" x14ac:dyDescent="0.3">
      <c r="B62" s="11"/>
      <c r="C62" s="11"/>
      <c r="D62" s="11"/>
      <c r="E62" s="11"/>
      <c r="G62" s="11"/>
      <c r="H62" s="11"/>
      <c r="I62" s="11"/>
      <c r="J62" s="11"/>
      <c r="K62" s="15"/>
      <c r="L62" s="1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4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2:40" x14ac:dyDescent="0.3">
      <c r="B63" s="11"/>
      <c r="C63" s="11"/>
      <c r="D63" s="11"/>
      <c r="E63" s="11"/>
      <c r="G63" s="11"/>
      <c r="H63" s="11"/>
      <c r="I63" s="11"/>
      <c r="J63" s="11"/>
      <c r="K63" s="11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spans="2:40" x14ac:dyDescent="0.3">
      <c r="B64" s="11"/>
      <c r="C64" s="11"/>
      <c r="D64" s="11"/>
      <c r="E64" s="11"/>
      <c r="G64" s="11"/>
      <c r="H64" s="11"/>
      <c r="I64" s="11"/>
      <c r="J64" s="11"/>
      <c r="K64" s="11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spans="2:40" x14ac:dyDescent="0.3">
      <c r="B65" s="11"/>
      <c r="C65" s="11"/>
      <c r="D65" s="11"/>
      <c r="E65" s="11"/>
      <c r="G65" s="11"/>
      <c r="H65" s="11"/>
      <c r="I65" s="11"/>
      <c r="J65" s="11"/>
      <c r="K65" s="11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2:40" x14ac:dyDescent="0.3">
      <c r="B66" s="11"/>
      <c r="C66" s="11"/>
      <c r="D66" s="11"/>
      <c r="E66" s="11"/>
      <c r="G66" s="11"/>
      <c r="H66" s="11"/>
      <c r="I66" s="11"/>
      <c r="J66" s="11"/>
      <c r="K66" s="11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2:40" x14ac:dyDescent="0.3"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2:40" x14ac:dyDescent="0.3"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</sheetData>
  <mergeCells count="10">
    <mergeCell ref="G45:J45"/>
    <mergeCell ref="B45:E45"/>
    <mergeCell ref="B1:V1"/>
    <mergeCell ref="W1:Z1"/>
    <mergeCell ref="B17:E17"/>
    <mergeCell ref="G17:J17"/>
    <mergeCell ref="B3:E3"/>
    <mergeCell ref="G3:J3"/>
    <mergeCell ref="B31:E31"/>
    <mergeCell ref="G31:J31"/>
  </mergeCells>
  <conditionalFormatting sqref="N18:U28">
    <cfRule type="colorScale" priority="3">
      <colorScale>
        <cfvo type="num" val="200"/>
        <cfvo type="num" val="350"/>
        <cfvo type="num" val="600"/>
        <color rgb="FFA7D971"/>
        <color rgb="FFFFEB84"/>
        <color rgb="FFFF0000"/>
      </colorScale>
    </cfRule>
  </conditionalFormatting>
  <conditionalFormatting sqref="N33:U43">
    <cfRule type="colorScale" priority="1">
      <colorScale>
        <cfvo type="num" val="3"/>
        <cfvo type="num" val="8"/>
        <cfvo type="num" val="10"/>
        <color rgb="FFA7D971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Yoshi Takayasu de Oliveira</cp:lastModifiedBy>
  <dcterms:created xsi:type="dcterms:W3CDTF">2025-08-07T04:05:11Z</dcterms:created>
  <dcterms:modified xsi:type="dcterms:W3CDTF">2025-12-03T23:43:49Z</dcterms:modified>
</cp:coreProperties>
</file>