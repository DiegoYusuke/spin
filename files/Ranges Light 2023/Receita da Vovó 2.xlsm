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drawings/drawing9.xml" ContentType="application/vnd.openxmlformats-officedocument.drawing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drawings/drawing14.xml" ContentType="application/vnd.openxmlformats-officedocument.drawing+xml"/>
  <Override PartName="/xl/ctrlProps/ctrlProp29.xml" ContentType="application/vnd.ms-excel.controlproperties+xml"/>
  <Override PartName="/xl/drawings/drawing15.xml" ContentType="application/vnd.openxmlformats-officedocument.drawing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drawings/drawing17.xml" ContentType="application/vnd.openxmlformats-officedocument.drawing+xml"/>
  <Override PartName="/xl/ctrlProps/ctrlProp32.xml" ContentType="application/vnd.ms-excel.controlproperties+xml"/>
  <Override PartName="/xl/drawings/drawing18.xml" ContentType="application/vnd.openxmlformats-officedocument.drawing+xml"/>
  <Override PartName="/xl/ctrlProps/ctrlProp33.xml" ContentType="application/vnd.ms-excel.controlproperties+xml"/>
  <Override PartName="/xl/drawings/drawing19.xml" ContentType="application/vnd.openxmlformats-officedocument.drawing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drawings/drawing21.xml" ContentType="application/vnd.openxmlformats-officedocument.drawing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drawings/drawing23.xml" ContentType="application/vnd.openxmlformats-officedocument.drawing+xml"/>
  <Override PartName="/xl/ctrlProps/ctrlProp38.xml" ContentType="application/vnd.ms-excel.controlproperties+xml"/>
  <Override PartName="/xl/drawings/drawing24.xml" ContentType="application/vnd.openxmlformats-officedocument.drawing+xml"/>
  <Override PartName="/xl/ctrlProps/ctrlProp39.xml" ContentType="application/vnd.ms-excel.controlproperties+xml"/>
  <Override PartName="/xl/drawings/drawing25.xml" ContentType="application/vnd.openxmlformats-officedocument.drawing+xml"/>
  <Override PartName="/xl/ctrlProps/ctrlProp40.xml" ContentType="application/vnd.ms-excel.controlproperties+xml"/>
  <Override PartName="/xl/drawings/drawing26.xml" ContentType="application/vnd.openxmlformats-officedocument.drawing+xml"/>
  <Override PartName="/xl/ctrlProps/ctrlProp41.xml" ContentType="application/vnd.ms-excel.controlproperties+xml"/>
  <Override PartName="/xl/drawings/drawing27.xml" ContentType="application/vnd.openxmlformats-officedocument.drawing+xml"/>
  <Override PartName="/xl/ctrlProps/ctrlProp42.xml" ContentType="application/vnd.ms-excel.controlproperties+xml"/>
  <Override PartName="/xl/drawings/drawing28.xml" ContentType="application/vnd.openxmlformats-officedocument.drawing+xml"/>
  <Override PartName="/xl/ctrlProps/ctrlProp43.xml" ContentType="application/vnd.ms-excel.controlproperties+xml"/>
  <Override PartName="/xl/drawings/drawing29.xml" ContentType="application/vnd.openxmlformats-officedocument.drawing+xml"/>
  <Override PartName="/xl/ctrlProps/ctrlProp44.xml" ContentType="application/vnd.ms-excel.controlproperties+xml"/>
  <Override PartName="/xl/drawings/drawing30.xml" ContentType="application/vnd.openxmlformats-officedocument.drawing+xml"/>
  <Override PartName="/xl/ctrlProps/ctrlProp45.xml" ContentType="application/vnd.ms-excel.controlproperties+xml"/>
  <Override PartName="/xl/drawings/drawing31.xml" ContentType="application/vnd.openxmlformats-officedocument.drawing+xml"/>
  <Override PartName="/xl/ctrlProps/ctrlProp46.xml" ContentType="application/vnd.ms-excel.controlproperties+xml"/>
  <Override PartName="/xl/drawings/drawing32.xml" ContentType="application/vnd.openxmlformats-officedocument.drawing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iego\OneDrive\Desktop\Ranges Light 2023\"/>
    </mc:Choice>
  </mc:AlternateContent>
  <xr:revisionPtr revIDLastSave="0" documentId="13_ncr:1_{F45AE066-0C3B-490A-8372-24CF09EF1802}" xr6:coauthVersionLast="47" xr6:coauthVersionMax="47" xr10:uidLastSave="{00000000-0000-0000-0000-000000000000}"/>
  <bookViews>
    <workbookView xWindow="-16305" yWindow="-3000" windowWidth="16380" windowHeight="15270" tabRatio="866" firstSheet="27" activeTab="27" xr2:uid="{00000000-000D-0000-FFFF-FFFF00000000}"/>
  </bookViews>
  <sheets>
    <sheet name="HOME" sheetId="1" state="hidden" r:id="rId1"/>
    <sheet name="Call Shove BB" sheetId="16" state="hidden" r:id="rId2"/>
    <sheet name="FlatSBvsEP" sheetId="30" state="hidden" r:id="rId3"/>
    <sheet name="FlatSBvsLP" sheetId="31" state="hidden" r:id="rId4"/>
    <sheet name="FlatBBvsEP" sheetId="32" state="hidden" r:id="rId5"/>
    <sheet name="FlatBBvsMP" sheetId="33" state="hidden" r:id="rId6"/>
    <sheet name="FlatBBvsLP" sheetId="34" state="hidden" r:id="rId7"/>
    <sheet name="3bet EPMP" sheetId="25" state="hidden" r:id="rId8"/>
    <sheet name="3bet BTNCO" sheetId="26" state="hidden" r:id="rId9"/>
    <sheet name="Call Res EP" sheetId="21" state="hidden" r:id="rId10"/>
    <sheet name="Call Res MP" sheetId="22" state="hidden" r:id="rId11"/>
    <sheet name="Call Res CO" sheetId="23" state="hidden" r:id="rId12"/>
    <sheet name="Call Res BU" sheetId="24" state="hidden" r:id="rId13"/>
    <sheet name="Call Shove SB" sheetId="17" state="hidden" r:id="rId14"/>
    <sheet name="Call Shove BTN" sheetId="18" state="hidden" r:id="rId15"/>
    <sheet name="Call Shove CO" sheetId="19" state="hidden" r:id="rId16"/>
    <sheet name="Call Shove MP" sheetId="20" state="hidden" r:id="rId17"/>
    <sheet name="3bet HJCO" sheetId="27" state="hidden" r:id="rId18"/>
    <sheet name="3bet BTN" sheetId="28" state="hidden" r:id="rId19"/>
    <sheet name="3bet BTNvsCO" sheetId="29" state="hidden" r:id="rId20"/>
    <sheet name="OR - EP" sheetId="4" state="hidden" r:id="rId21"/>
    <sheet name="OR - MP" sheetId="5" state="hidden" r:id="rId22"/>
    <sheet name="OR - HJ" sheetId="6" state="hidden" r:id="rId23"/>
    <sheet name="OR - CO" sheetId="7" state="hidden" r:id="rId24"/>
    <sheet name="OR - BU" sheetId="8" state="hidden" r:id="rId25"/>
    <sheet name="Shove EP" sheetId="9" state="hidden" r:id="rId26"/>
    <sheet name="Shove MP+HJ" sheetId="10" state="hidden" r:id="rId27"/>
    <sheet name="Shove CO" sheetId="11" r:id="rId28"/>
    <sheet name="Shove BU" sheetId="12" state="hidden" r:id="rId29"/>
    <sheet name="Resteal BB" sheetId="13" state="hidden" r:id="rId30"/>
    <sheet name="Resteal SB" sheetId="14" state="hidden" r:id="rId31"/>
    <sheet name="RESTEAL BU" sheetId="15" state="hidden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6" i="1" l="1"/>
  <c r="X29" i="1" s="1"/>
  <c r="X33" i="1" s="1"/>
  <c r="X34" i="1" s="1"/>
  <c r="X35" i="1" s="1"/>
  <c r="T26" i="1"/>
  <c r="T29" i="1" s="1"/>
  <c r="T33" i="1" s="1"/>
  <c r="T34" i="1" s="1"/>
  <c r="T35" i="1" s="1"/>
  <c r="P26" i="1"/>
  <c r="P29" i="1" s="1"/>
  <c r="P33" i="1" s="1"/>
  <c r="P34" i="1" s="1"/>
  <c r="P35" i="1" s="1"/>
  <c r="L26" i="1"/>
  <c r="L29" i="1" s="1"/>
  <c r="L33" i="1" s="1"/>
  <c r="L34" i="1" s="1"/>
  <c r="L35" i="1" s="1"/>
</calcChain>
</file>

<file path=xl/sharedStrings.xml><?xml version="1.0" encoding="utf-8"?>
<sst xmlns="http://schemas.openxmlformats.org/spreadsheetml/2006/main" count="14215" uniqueCount="362">
  <si>
    <t>AA</t>
  </si>
  <si>
    <t>KK</t>
  </si>
  <si>
    <t>QQ</t>
  </si>
  <si>
    <t>JJ</t>
  </si>
  <si>
    <t>TT</t>
  </si>
  <si>
    <t>AKs</t>
  </si>
  <si>
    <t>AQs</t>
  </si>
  <si>
    <t>AJs</t>
  </si>
  <si>
    <t>ATs</t>
  </si>
  <si>
    <t>A9s</t>
  </si>
  <si>
    <t>A8s</t>
  </si>
  <si>
    <t>A7s</t>
  </si>
  <si>
    <t>A6s</t>
  </si>
  <si>
    <t>A5s</t>
  </si>
  <si>
    <t>A4s</t>
  </si>
  <si>
    <t>A3s</t>
  </si>
  <si>
    <t>A2s</t>
  </si>
  <si>
    <t>KQo</t>
  </si>
  <si>
    <t>KJo</t>
  </si>
  <si>
    <t>KTs</t>
  </si>
  <si>
    <t>K9s</t>
  </si>
  <si>
    <t>K8s</t>
  </si>
  <si>
    <t>K7s</t>
  </si>
  <si>
    <t>K6s</t>
  </si>
  <si>
    <t>K5s</t>
  </si>
  <si>
    <t>K4s</t>
  </si>
  <si>
    <t>K3s</t>
  </si>
  <si>
    <t>K2s</t>
  </si>
  <si>
    <t>J2s</t>
  </si>
  <si>
    <t>T2s</t>
  </si>
  <si>
    <t>Q2s</t>
  </si>
  <si>
    <t>92s</t>
  </si>
  <si>
    <t>82s</t>
  </si>
  <si>
    <t>72s</t>
  </si>
  <si>
    <t>62s</t>
  </si>
  <si>
    <t>52s</t>
  </si>
  <si>
    <t>42s</t>
  </si>
  <si>
    <t>32s</t>
  </si>
  <si>
    <t>Q3s</t>
  </si>
  <si>
    <t>J3s</t>
  </si>
  <si>
    <t>T3s</t>
  </si>
  <si>
    <t>93s</t>
  </si>
  <si>
    <t>83s</t>
  </si>
  <si>
    <t>73s</t>
  </si>
  <si>
    <t>63s</t>
  </si>
  <si>
    <t>53s</t>
  </si>
  <si>
    <t>43s</t>
  </si>
  <si>
    <t>Q4s</t>
  </si>
  <si>
    <t>J4s</t>
  </si>
  <si>
    <t>T4s</t>
  </si>
  <si>
    <t>94s</t>
  </si>
  <si>
    <t>84s</t>
  </si>
  <si>
    <t>74s</t>
  </si>
  <si>
    <t>64s</t>
  </si>
  <si>
    <t>54s</t>
  </si>
  <si>
    <t>Q5s</t>
  </si>
  <si>
    <t>J5s</t>
  </si>
  <si>
    <t>T5s</t>
  </si>
  <si>
    <t>95s</t>
  </si>
  <si>
    <t>85s</t>
  </si>
  <si>
    <t>75s</t>
  </si>
  <si>
    <t>65s</t>
  </si>
  <si>
    <t>Q6s</t>
  </si>
  <si>
    <t>J6s</t>
  </si>
  <si>
    <t>T6s</t>
  </si>
  <si>
    <t>96s</t>
  </si>
  <si>
    <t>86s</t>
  </si>
  <si>
    <t>76s</t>
  </si>
  <si>
    <t>Q7s</t>
  </si>
  <si>
    <t>J7s</t>
  </si>
  <si>
    <t>T7s</t>
  </si>
  <si>
    <t>97s</t>
  </si>
  <si>
    <t>87s</t>
  </si>
  <si>
    <t>Q8s</t>
  </si>
  <si>
    <t>J8s</t>
  </si>
  <si>
    <t>T8s</t>
  </si>
  <si>
    <t>AKo</t>
  </si>
  <si>
    <t>AQo</t>
  </si>
  <si>
    <t>AJo</t>
  </si>
  <si>
    <t>ATo</t>
  </si>
  <si>
    <t>A9o</t>
  </si>
  <si>
    <t>A8o</t>
  </si>
  <si>
    <t>A7o</t>
  </si>
  <si>
    <t>A6o</t>
  </si>
  <si>
    <t>A5o</t>
  </si>
  <si>
    <t>A4o</t>
  </si>
  <si>
    <t>A3o</t>
  </si>
  <si>
    <t>A2o</t>
  </si>
  <si>
    <t>98s</t>
  </si>
  <si>
    <t>T9s</t>
  </si>
  <si>
    <t>J9s</t>
  </si>
  <si>
    <t>JTs</t>
  </si>
  <si>
    <t>QTs</t>
  </si>
  <si>
    <t>QJo</t>
  </si>
  <si>
    <t>KJs</t>
  </si>
  <si>
    <t>KQs</t>
  </si>
  <si>
    <t>Q9s</t>
  </si>
  <si>
    <t>QJs</t>
  </si>
  <si>
    <t>KTo</t>
  </si>
  <si>
    <t>QTo</t>
  </si>
  <si>
    <t>JTo</t>
  </si>
  <si>
    <t>K9o</t>
  </si>
  <si>
    <t>K8o</t>
  </si>
  <si>
    <t>K7o</t>
  </si>
  <si>
    <t>K5o</t>
  </si>
  <si>
    <t>K4o</t>
  </si>
  <si>
    <t>K3o</t>
  </si>
  <si>
    <t>K2o</t>
  </si>
  <si>
    <t>K6o</t>
  </si>
  <si>
    <t>Q9o</t>
  </si>
  <si>
    <t>Q8o</t>
  </si>
  <si>
    <t>Q7o</t>
  </si>
  <si>
    <t>Q6o</t>
  </si>
  <si>
    <t>Q5o</t>
  </si>
  <si>
    <t>Q4o</t>
  </si>
  <si>
    <t>Q3o</t>
  </si>
  <si>
    <t>Q2o</t>
  </si>
  <si>
    <t>J9o</t>
  </si>
  <si>
    <t>J8o</t>
  </si>
  <si>
    <t>J7o</t>
  </si>
  <si>
    <t>J6o</t>
  </si>
  <si>
    <t>J5o</t>
  </si>
  <si>
    <t>J4o</t>
  </si>
  <si>
    <t>J3o</t>
  </si>
  <si>
    <t>J2o</t>
  </si>
  <si>
    <t>T9o</t>
  </si>
  <si>
    <t>T8o</t>
  </si>
  <si>
    <t>T7o</t>
  </si>
  <si>
    <t>T6o</t>
  </si>
  <si>
    <t>T5o</t>
  </si>
  <si>
    <t>T4o</t>
  </si>
  <si>
    <t>T3o</t>
  </si>
  <si>
    <t>T2o</t>
  </si>
  <si>
    <t>98o</t>
  </si>
  <si>
    <t>97o</t>
  </si>
  <si>
    <t>96o</t>
  </si>
  <si>
    <t>95o</t>
  </si>
  <si>
    <t>94o</t>
  </si>
  <si>
    <t>93o</t>
  </si>
  <si>
    <t>92o</t>
  </si>
  <si>
    <t>87o</t>
  </si>
  <si>
    <t>86o</t>
  </si>
  <si>
    <t>85o</t>
  </si>
  <si>
    <t>84o</t>
  </si>
  <si>
    <t>83o</t>
  </si>
  <si>
    <t>82o</t>
  </si>
  <si>
    <t>76o</t>
  </si>
  <si>
    <t>75o</t>
  </si>
  <si>
    <t>74o</t>
  </si>
  <si>
    <t>73o</t>
  </si>
  <si>
    <t>72o</t>
  </si>
  <si>
    <t>65o</t>
  </si>
  <si>
    <t>64o</t>
  </si>
  <si>
    <t>63o</t>
  </si>
  <si>
    <t>62o</t>
  </si>
  <si>
    <t>54o</t>
  </si>
  <si>
    <t>53o</t>
  </si>
  <si>
    <t>52o</t>
  </si>
  <si>
    <t>43o</t>
  </si>
  <si>
    <t>32o</t>
  </si>
  <si>
    <t>42o</t>
  </si>
  <si>
    <t>SB vs EP/MP</t>
  </si>
  <si>
    <t>Flat</t>
  </si>
  <si>
    <t>Flat dependendo do spot</t>
  </si>
  <si>
    <t>3bet</t>
  </si>
  <si>
    <t>Flat dependendo do spot (com 35bbs+)</t>
  </si>
  <si>
    <t>EP/MP vs UTG - 45bbs +</t>
  </si>
  <si>
    <t>BTN/CO vs UTG - 45bbs +</t>
  </si>
  <si>
    <t>HJ/CO vs MP - 45bbs +</t>
  </si>
  <si>
    <t>BTN vs MP/HJ - 45bbs +</t>
  </si>
  <si>
    <t>BTN vs CO - 45bbs +</t>
  </si>
  <si>
    <t>BTN vs CO - 25 a 45bbs +</t>
  </si>
  <si>
    <t>EP/MP vs UTG - 25 a 45bbs +</t>
  </si>
  <si>
    <t>BTN/CO vs UTG - 25 a 45bbs +</t>
  </si>
  <si>
    <t>HJ/CO vs MP - 25 a 45bbs +</t>
  </si>
  <si>
    <t>BTN vs MP/HJ - 25 a 45bbs +</t>
  </si>
  <si>
    <t>3bet ou flat dependendo do spot</t>
  </si>
  <si>
    <t>3bet dependendo do spot</t>
  </si>
  <si>
    <t>SB vs LP</t>
  </si>
  <si>
    <t>BB vs EP</t>
  </si>
  <si>
    <t>BB vs MP</t>
  </si>
  <si>
    <t>BB vs LP</t>
  </si>
  <si>
    <t>Pot Multiway</t>
  </si>
  <si>
    <t>mais a reverse odds do top pair justifica o fold</t>
  </si>
  <si>
    <t xml:space="preserve">apesar de ter odds melhores, a dificuldade pra realizar equidade num pot multiway, </t>
  </si>
  <si>
    <t xml:space="preserve">Evitar mãos que estão muito dominadas vs o range de open e de flatcall, Ax Kx Qx Jx </t>
  </si>
  <si>
    <t xml:space="preserve"> dai o ajuste pra ser feito é cortar as piores mao do range tanto de flat quanto de 3bet</t>
  </si>
  <si>
    <t>**Range pensado num raise de até 2,5x</t>
  </si>
  <si>
    <t>enfrentando raise maior, a tendencia é que o range seja mais tight,</t>
  </si>
  <si>
    <t xml:space="preserve">** do SB vs LP pode ser usado o range de 3bet linear quanto o 3bet mais polarizado, </t>
  </si>
  <si>
    <t>a escolha é prefencia de vcs de acordo com o spot</t>
  </si>
  <si>
    <t>K2</t>
  </si>
  <si>
    <t>UTG</t>
  </si>
  <si>
    <t>Raise com 11bbs+</t>
  </si>
  <si>
    <t>Shove até 12bbs / Raise com mais</t>
  </si>
  <si>
    <t>Shove até 15bbs / Raise com mais</t>
  </si>
  <si>
    <t>Shove até 12bbs / Fold com mais</t>
  </si>
  <si>
    <t>Shove até 20bbs</t>
  </si>
  <si>
    <t>Ampliar Range</t>
  </si>
  <si>
    <t>Raise 15bbs+ / Fold com menos</t>
  </si>
  <si>
    <t>MP</t>
  </si>
  <si>
    <t>Low Jack</t>
  </si>
  <si>
    <t>Hi Jack</t>
  </si>
  <si>
    <t>Cutoff</t>
  </si>
  <si>
    <t>Button</t>
  </si>
  <si>
    <t>Open e shove x 3bet</t>
  </si>
  <si>
    <t>Open e shove ou Call dependendo do oponente</t>
  </si>
  <si>
    <t>Open e flat x 3bet</t>
  </si>
  <si>
    <t>Open e fold x 3bet (call Vs Sizes menores de 2.5x)</t>
  </si>
  <si>
    <t>Open apenas em bons spots</t>
  </si>
  <si>
    <t>Raise/Shove vs Jogadores AGRESSIVOS</t>
  </si>
  <si>
    <t>Open e call vs 3bet vs jogadores AGRESSIVOS</t>
  </si>
  <si>
    <t>Raise/Shove vs ate 35 bbs</t>
  </si>
  <si>
    <t>3bet call</t>
  </si>
  <si>
    <t>Dead Line para 3bet ou call por spot</t>
  </si>
  <si>
    <t>3bet fold</t>
  </si>
  <si>
    <t>3bet ou fold por spot</t>
  </si>
  <si>
    <t>3bet ou call por spot</t>
  </si>
  <si>
    <t>Call ou Fold por spot</t>
  </si>
  <si>
    <t>BTN Vs 13%</t>
  </si>
  <si>
    <t>BTN Vs 18%</t>
  </si>
  <si>
    <t>BTN Vs 23%</t>
  </si>
  <si>
    <t>BTN Vs 30%</t>
  </si>
  <si>
    <t>3bet shove até 20bbs</t>
  </si>
  <si>
    <t>3bet shove até 15bbs / Flat com mais</t>
  </si>
  <si>
    <t>3bet shove até 13bbs / Flat com mais</t>
  </si>
  <si>
    <t>3bet shove até 15bbs / FOLD com mais</t>
  </si>
  <si>
    <t>Flat com mais de 15bbs Vs Fish</t>
  </si>
  <si>
    <t>SB Vs 13%</t>
  </si>
  <si>
    <t>SB Vs 18%</t>
  </si>
  <si>
    <t>SB Vs 23%</t>
  </si>
  <si>
    <t>Flat com menos de 15bbs Vs 2.2x</t>
  </si>
  <si>
    <t>Aumentar Spot vs mini raise</t>
  </si>
  <si>
    <t>3bet shove até 13bbs / FOLD com mais</t>
  </si>
  <si>
    <t>3bet shove até 13bbs / FLAT com mais</t>
  </si>
  <si>
    <t>3bet shove de 15-20bbs / FOLD com menos</t>
  </si>
  <si>
    <t>3bet shove até 15bbs / FLAT com mais</t>
  </si>
  <si>
    <t>3bet shove até 15bbs / FLAT vs Tight</t>
  </si>
  <si>
    <t>SB Vs 40%</t>
  </si>
  <si>
    <t>SB Vs 30%</t>
  </si>
  <si>
    <t>BB Vs 13%</t>
  </si>
  <si>
    <t>BB Vs 18%</t>
  </si>
  <si>
    <t>BB Vs 23%</t>
  </si>
  <si>
    <t>BB Vs 30%</t>
  </si>
  <si>
    <t>BB Vs 40%</t>
  </si>
  <si>
    <t>3bet shove 17-20bbs / FLAT com menos</t>
  </si>
  <si>
    <t>SB de 9-10bbs</t>
  </si>
  <si>
    <t>SB de 13-17bbs</t>
  </si>
  <si>
    <t>SB de 18-32bbs</t>
  </si>
  <si>
    <t>SB 32bbs+</t>
  </si>
  <si>
    <t>Limp/Call</t>
  </si>
  <si>
    <t>Limp/Fold</t>
  </si>
  <si>
    <t>Limp</t>
  </si>
  <si>
    <t>Limp/Call até 3x</t>
  </si>
  <si>
    <t>Limp / Call até 3.5x</t>
  </si>
  <si>
    <t>Shove</t>
  </si>
  <si>
    <t>Limp / Shove</t>
  </si>
  <si>
    <t>Limp / 3bet vs agro</t>
  </si>
  <si>
    <t>Shove até 17bbs</t>
  </si>
  <si>
    <t>Raise spot bom</t>
  </si>
  <si>
    <t>Limp / Shove ou Limp / 3bet Vs Agro</t>
  </si>
  <si>
    <t>Raise</t>
  </si>
  <si>
    <t>Limp / Shove até 35bbs</t>
  </si>
  <si>
    <t>Open shove até 25bbs e raise com mais</t>
  </si>
  <si>
    <t>Raise ou Limp / 3bet vs agro</t>
  </si>
  <si>
    <t>Big Blind até 15bbs</t>
  </si>
  <si>
    <t>Big Blind de 20-25bbs</t>
  </si>
  <si>
    <t>Check Behind</t>
  </si>
  <si>
    <t>Raise Fold</t>
  </si>
  <si>
    <t>Raise Fold Ampliar</t>
  </si>
  <si>
    <t>Shove até 25bbs</t>
  </si>
  <si>
    <t>Shove até 15bbs / Raise Call com mais</t>
  </si>
  <si>
    <t>BB Call em Shove até 6bbs</t>
  </si>
  <si>
    <t>BB Call em Shove até 8bbs</t>
  </si>
  <si>
    <t>BB Call em Shove até 10bbs</t>
  </si>
  <si>
    <t>BB Call em Shove até 12bbs</t>
  </si>
  <si>
    <t>SB x EP</t>
  </si>
  <si>
    <t>SB x CO e HJ</t>
  </si>
  <si>
    <t>SB x BTN</t>
  </si>
  <si>
    <t>BB x EP</t>
  </si>
  <si>
    <t>BB x CO e HJ</t>
  </si>
  <si>
    <t>BB x BTN</t>
  </si>
  <si>
    <t>Deadline entre 3bet ou call</t>
  </si>
  <si>
    <t>30bb- Push Vs Steal / 30bb+ Flat</t>
  </si>
  <si>
    <t>Spot para possível 3bet</t>
  </si>
  <si>
    <t>Dead Line para 3bet/call  flat ou 3bet/fold por spot</t>
  </si>
  <si>
    <t>BLIND WAR</t>
  </si>
  <si>
    <t>Raise/call em 3bet por ser suited, joga melhor pos flop que Aqo</t>
  </si>
  <si>
    <t>SB x MP</t>
  </si>
  <si>
    <t>3bet call até 30bbs / 3bet fold com mais</t>
  </si>
  <si>
    <t>Ampliar range para 3bet fold</t>
  </si>
  <si>
    <t>UTG1</t>
  </si>
  <si>
    <t>SB</t>
  </si>
  <si>
    <t>3 Blinds</t>
  </si>
  <si>
    <t>4 Blinds</t>
  </si>
  <si>
    <t>5 Blinds</t>
  </si>
  <si>
    <t>6 Blinds</t>
  </si>
  <si>
    <t>7 Blinds</t>
  </si>
  <si>
    <t>8 Blinds</t>
  </si>
  <si>
    <t>9 Blinds</t>
  </si>
  <si>
    <t>10 Blinds</t>
  </si>
  <si>
    <t>USAR TABELA DE BLIND WAR</t>
  </si>
  <si>
    <t>Ampliar o range 35BB+ eff</t>
  </si>
  <si>
    <t>Early Game</t>
  </si>
  <si>
    <t>Middle Game</t>
  </si>
  <si>
    <t>Late Game</t>
  </si>
  <si>
    <t>Máximo</t>
  </si>
  <si>
    <t>Parte do buy in que vai para o bounty</t>
  </si>
  <si>
    <t>Quantas fichas começa o torneio</t>
  </si>
  <si>
    <t>Valor de $1 em fichas</t>
  </si>
  <si>
    <t>Qual o bounty do vilão</t>
  </si>
  <si>
    <t>Valor do bounty em fichas</t>
  </si>
  <si>
    <t>Pote</t>
  </si>
  <si>
    <t>Quanto vc precisa pagar</t>
  </si>
  <si>
    <t>Pote efetivo</t>
  </si>
  <si>
    <t>Pot Odds</t>
  </si>
  <si>
    <t>Equidade necessária</t>
  </si>
  <si>
    <t>UTG - RFI 11~20bbs</t>
  </si>
  <si>
    <t>UTG +1 - RFI 11~20bbs</t>
  </si>
  <si>
    <t>UTG - RFI 20~40bbs</t>
  </si>
  <si>
    <t>UTG +1 - RFI 20~40bbs</t>
  </si>
  <si>
    <t>UTG+1 - FLAT / 3BET</t>
  </si>
  <si>
    <t>MP - RFI 10~20bbs</t>
  </si>
  <si>
    <t>Low Jack - RFI 10~20bbs</t>
  </si>
  <si>
    <t>Hi Jack - RFI 10~20bbs</t>
  </si>
  <si>
    <t>MP - RFI 20~40</t>
  </si>
  <si>
    <t>Low Jack - RFI 20~40bbs</t>
  </si>
  <si>
    <t>Hi Jack - RFI 20~40bbs</t>
  </si>
  <si>
    <t>Cutoff- RFI 10~20bbs</t>
  </si>
  <si>
    <t>Button - RFI 10~20bbs</t>
  </si>
  <si>
    <t>Cutoff - RFI 20~40bbs</t>
  </si>
  <si>
    <t>Button - RFI 20~40bbs</t>
  </si>
  <si>
    <t>MP - Flat /3bet</t>
  </si>
  <si>
    <t>LowJack - Flat / 3bet</t>
  </si>
  <si>
    <t>HiJack - Flat/3bet</t>
  </si>
  <si>
    <t>Cutoff x EP - Flat/3bet</t>
  </si>
  <si>
    <t>Button x EP - Flat/3bet</t>
  </si>
  <si>
    <t>Button x MP - Flat/3bet</t>
  </si>
  <si>
    <t>Button x HJ e Cutoff - Flat/3bet</t>
  </si>
  <si>
    <t>Open / Flat / 3bet</t>
  </si>
  <si>
    <t>Call em Shove 10bbs Vs 16%</t>
  </si>
  <si>
    <t>Call em Shove 10bbs Vs 19%</t>
  </si>
  <si>
    <t>Call em Shove 10bbs Vs 22%</t>
  </si>
  <si>
    <t>Call em Shove 10bbs Vs 29%</t>
  </si>
  <si>
    <t>Call em Shove 10bbs Vs 35%</t>
  </si>
  <si>
    <t>Call em Shove 10bbs Vs 44%</t>
  </si>
  <si>
    <t>EP</t>
  </si>
  <si>
    <t>HJ</t>
  </si>
  <si>
    <t>CO</t>
  </si>
  <si>
    <t>BB</t>
  </si>
  <si>
    <t>BT</t>
  </si>
  <si>
    <t>Ampliar BB</t>
  </si>
  <si>
    <t>BB vs BT Close</t>
  </si>
  <si>
    <t>Call em Shove 15bbs Vs 10%</t>
  </si>
  <si>
    <t>Call em Shove 15bbs Vs 14%</t>
  </si>
  <si>
    <t>Call em Shove 15bbs Vs 19%</t>
  </si>
  <si>
    <t>Call em Shove 15bbs Vs 25%</t>
  </si>
  <si>
    <t>Resteal</t>
  </si>
  <si>
    <t>Open Shove</t>
  </si>
  <si>
    <t>Short Stack</t>
  </si>
  <si>
    <t>VS Shove</t>
  </si>
  <si>
    <t xml:space="preserve">    20 A 40 BLINDS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</si>
</sst>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2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onstantia"/>
      <family val="1"/>
    </font>
    <font>
      <sz val="12"/>
      <color theme="1"/>
      <name val="Helvetica Neue"/>
    </font>
    <font>
      <i/>
      <sz val="12"/>
      <color theme="1"/>
      <name val="Helvetica Neue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entury Gothic"/>
      <family val="2"/>
    </font>
    <font>
      <sz val="11"/>
      <name val="Arial"/>
      <family val="2"/>
    </font>
    <font>
      <sz val="18"/>
      <name val="Verdana"/>
      <family val="2"/>
    </font>
    <font>
      <sz val="18"/>
      <name val="Century Gothic"/>
      <family val="2"/>
    </font>
    <font>
      <sz val="11"/>
      <name val="Century Gothic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entury Gothic"/>
      <family val="2"/>
    </font>
    <font>
      <b/>
      <sz val="16"/>
      <name val="Century Gothic"/>
      <family val="2"/>
    </font>
    <font>
      <b/>
      <sz val="11"/>
      <color theme="0"/>
      <name val="Century Gothic"/>
      <family val="2"/>
    </font>
    <font>
      <sz val="11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5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8"/>
      <color rgb="FF000000"/>
      <name val="Calibri"/>
      <family val="2"/>
    </font>
  </fonts>
  <fills count="17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rgb="FF00FF00"/>
      </patternFill>
    </fill>
    <fill>
      <patternFill patternType="solid">
        <fgColor rgb="FF00B050"/>
        <bgColor rgb="FFB6D7A8"/>
      </patternFill>
    </fill>
    <fill>
      <patternFill patternType="solid">
        <fgColor rgb="FF00B050"/>
        <bgColor rgb="FFCC0000"/>
      </patternFill>
    </fill>
    <fill>
      <patternFill patternType="solid">
        <fgColor theme="0" tint="-4.9989318521683403E-2"/>
        <bgColor rgb="FFCC0000"/>
      </patternFill>
    </fill>
    <fill>
      <patternFill patternType="solid">
        <fgColor rgb="FFFF0000"/>
        <bgColor rgb="FFCC0000"/>
      </patternFill>
    </fill>
    <fill>
      <patternFill patternType="solid">
        <fgColor theme="0" tint="-4.9989318521683403E-2"/>
        <bgColor rgb="FFFF9900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00B050"/>
        <bgColor rgb="FF674EA7"/>
      </patternFill>
    </fill>
    <fill>
      <patternFill patternType="solid">
        <fgColor rgb="FFFF0000"/>
        <bgColor rgb="FFB6D7A8"/>
      </patternFill>
    </fill>
    <fill>
      <patternFill patternType="solid">
        <fgColor theme="0"/>
        <bgColor rgb="FFCC0000"/>
      </patternFill>
    </fill>
    <fill>
      <patternFill patternType="solid">
        <fgColor rgb="FF00B050"/>
        <bgColor rgb="FF6D9EEB"/>
      </patternFill>
    </fill>
    <fill>
      <patternFill patternType="solid">
        <fgColor theme="0" tint="-4.9989318521683403E-2"/>
        <bgColor rgb="FFB6D7A8"/>
      </patternFill>
    </fill>
    <fill>
      <patternFill patternType="solid">
        <fgColor theme="6" tint="-0.249977111117893"/>
        <bgColor rgb="FFB6D7A8"/>
      </patternFill>
    </fill>
    <fill>
      <patternFill patternType="solid">
        <fgColor rgb="FFFFFF00"/>
        <bgColor rgb="FFB6D7A8"/>
      </patternFill>
    </fill>
    <fill>
      <patternFill patternType="solid">
        <fgColor rgb="FFFFFF00"/>
        <bgColor rgb="FFEFEFEF"/>
      </patternFill>
    </fill>
    <fill>
      <patternFill patternType="solid">
        <fgColor theme="7" tint="0.79998168889431442"/>
        <bgColor rgb="FF00FF00"/>
      </patternFill>
    </fill>
    <fill>
      <patternFill patternType="solid">
        <fgColor rgb="FFB6D7A8"/>
        <bgColor rgb="FFB6D7A8"/>
      </patternFill>
    </fill>
    <fill>
      <patternFill patternType="solid">
        <fgColor rgb="FFCC0000"/>
        <bgColor rgb="FFCC0000"/>
      </patternFill>
    </fill>
    <fill>
      <patternFill patternType="solid">
        <fgColor rgb="FFFF9900"/>
        <bgColor rgb="FFFF9900"/>
      </patternFill>
    </fill>
    <fill>
      <patternFill patternType="solid">
        <fgColor rgb="FFEFEFEF"/>
        <bgColor rgb="FFEFEFEF"/>
      </patternFill>
    </fill>
    <fill>
      <patternFill patternType="solid">
        <fgColor rgb="FF00B0F0"/>
        <bgColor rgb="FFB6D7A8"/>
      </patternFill>
    </fill>
    <fill>
      <patternFill patternType="solid">
        <fgColor rgb="FF00B0F0"/>
        <bgColor rgb="FF674EA7"/>
      </patternFill>
    </fill>
    <fill>
      <patternFill patternType="solid">
        <fgColor rgb="FF00B0F0"/>
        <bgColor rgb="FF00FF00"/>
      </patternFill>
    </fill>
    <fill>
      <patternFill patternType="solid">
        <fgColor rgb="FF92D050"/>
        <bgColor rgb="FFB6D7A8"/>
      </patternFill>
    </fill>
    <fill>
      <patternFill patternType="solid">
        <fgColor theme="9"/>
        <bgColor rgb="FFFF9900"/>
      </patternFill>
    </fill>
    <fill>
      <patternFill patternType="solid">
        <fgColor rgb="FFFFFF00"/>
        <bgColor rgb="FFCC0000"/>
      </patternFill>
    </fill>
    <fill>
      <patternFill patternType="solid">
        <fgColor theme="3" tint="-0.249977111117893"/>
        <bgColor rgb="FFB6D7A8"/>
      </patternFill>
    </fill>
    <fill>
      <patternFill patternType="solid">
        <fgColor rgb="FFFF0000"/>
        <bgColor rgb="FFFF9900"/>
      </patternFill>
    </fill>
    <fill>
      <patternFill patternType="solid">
        <fgColor theme="5" tint="-0.249977111117893"/>
        <bgColor rgb="FFFF9900"/>
      </patternFill>
    </fill>
    <fill>
      <patternFill patternType="solid">
        <fgColor rgb="FF00B0F0"/>
        <bgColor rgb="FF6D9EEB"/>
      </patternFill>
    </fill>
    <fill>
      <patternFill patternType="solid">
        <fgColor theme="0"/>
        <bgColor rgb="FFFF9900"/>
      </patternFill>
    </fill>
    <fill>
      <patternFill patternType="solid">
        <fgColor theme="0"/>
        <bgColor rgb="FFEFEFEF"/>
      </patternFill>
    </fill>
    <fill>
      <patternFill patternType="solid">
        <fgColor rgb="FFFF0000"/>
        <bgColor rgb="FFEFEFEF"/>
      </patternFill>
    </fill>
    <fill>
      <patternFill patternType="solid">
        <fgColor theme="0"/>
        <bgColor rgb="FFB6D7A8"/>
      </patternFill>
    </fill>
    <fill>
      <patternFill patternType="solid">
        <fgColor theme="9"/>
        <bgColor rgb="FFCC0000"/>
      </patternFill>
    </fill>
    <fill>
      <patternFill patternType="solid">
        <fgColor rgb="FFFFFF00"/>
        <bgColor rgb="FFFF9900"/>
      </patternFill>
    </fill>
    <fill>
      <patternFill patternType="solid">
        <fgColor theme="9"/>
        <bgColor rgb="FFB6D7A8"/>
      </patternFill>
    </fill>
    <fill>
      <patternFill patternType="solid">
        <fgColor rgb="FF00B050"/>
        <bgColor rgb="FFEFEFEF"/>
      </patternFill>
    </fill>
    <fill>
      <patternFill patternType="solid">
        <fgColor theme="6" tint="-0.249977111117893"/>
        <bgColor rgb="FFFF9900"/>
      </patternFill>
    </fill>
    <fill>
      <patternFill patternType="solid">
        <fgColor rgb="FF00B050"/>
        <bgColor rgb="FFFF9900"/>
      </patternFill>
    </fill>
    <fill>
      <patternFill patternType="solid">
        <fgColor theme="3" tint="-0.249977111117893"/>
        <bgColor rgb="FFFF9900"/>
      </patternFill>
    </fill>
    <fill>
      <patternFill patternType="solid">
        <fgColor rgb="FF00B0F0"/>
        <bgColor rgb="FFCC0000"/>
      </patternFill>
    </fill>
    <fill>
      <patternFill patternType="solid">
        <fgColor rgb="FF00B0F0"/>
        <bgColor rgb="FFFF9900"/>
      </patternFill>
    </fill>
    <fill>
      <patternFill patternType="solid">
        <fgColor theme="5" tint="-0.249977111117893"/>
        <bgColor rgb="FF00FF00"/>
      </patternFill>
    </fill>
    <fill>
      <patternFill patternType="solid">
        <fgColor theme="5" tint="-0.249977111117893"/>
        <bgColor rgb="FFB6D7A8"/>
      </patternFill>
    </fill>
    <fill>
      <patternFill patternType="solid">
        <fgColor theme="5" tint="-0.249977111117893"/>
        <bgColor rgb="FFCC0000"/>
      </patternFill>
    </fill>
    <fill>
      <patternFill patternType="solid">
        <fgColor theme="5" tint="-0.249977111117893"/>
        <bgColor rgb="FF674EA7"/>
      </patternFill>
    </fill>
    <fill>
      <patternFill patternType="solid">
        <fgColor theme="3" tint="-0.249977111117893"/>
        <bgColor rgb="FFCC0000"/>
      </patternFill>
    </fill>
    <fill>
      <patternFill patternType="solid">
        <fgColor theme="3" tint="-0.249977111117893"/>
        <bgColor rgb="FF00FF00"/>
      </patternFill>
    </fill>
    <fill>
      <patternFill patternType="solid">
        <fgColor theme="3" tint="-0.249977111117893"/>
        <bgColor rgb="FF6D9EEB"/>
      </patternFill>
    </fill>
    <fill>
      <patternFill patternType="solid">
        <fgColor theme="3" tint="-0.249977111117893"/>
        <bgColor rgb="FFEFEFEF"/>
      </patternFill>
    </fill>
    <fill>
      <patternFill patternType="solid">
        <fgColor rgb="FF7030A0"/>
        <bgColor rgb="FFFF9900"/>
      </patternFill>
    </fill>
    <fill>
      <patternFill patternType="solid">
        <fgColor theme="3" tint="-0.249977111117893"/>
        <bgColor rgb="FF0C343D"/>
      </patternFill>
    </fill>
    <fill>
      <patternFill patternType="solid">
        <fgColor theme="3" tint="-0.249977111117893"/>
        <bgColor rgb="FFFFE599"/>
      </patternFill>
    </fill>
    <fill>
      <patternFill patternType="solid">
        <fgColor theme="5" tint="-0.249977111117893"/>
        <bgColor rgb="FFFFE599"/>
      </patternFill>
    </fill>
    <fill>
      <patternFill patternType="solid">
        <fgColor rgb="FF00B0F0"/>
        <bgColor rgb="FF0C343D"/>
      </patternFill>
    </fill>
    <fill>
      <patternFill patternType="solid">
        <fgColor rgb="FF7030A0"/>
        <bgColor rgb="FFCC0000"/>
      </patternFill>
    </fill>
    <fill>
      <patternFill patternType="solid">
        <fgColor rgb="FF7030A0"/>
        <bgColor rgb="FFB6D7A8"/>
      </patternFill>
    </fill>
    <fill>
      <patternFill patternType="solid">
        <fgColor rgb="FF7030A0"/>
        <bgColor rgb="FFFFE599"/>
      </patternFill>
    </fill>
    <fill>
      <patternFill patternType="solid">
        <fgColor rgb="FF0C343D"/>
        <bgColor rgb="FF0C343D"/>
      </patternFill>
    </fill>
    <fill>
      <patternFill patternType="solid">
        <fgColor rgb="FFFFE599"/>
        <bgColor rgb="FFFFE599"/>
      </patternFill>
    </fill>
    <fill>
      <patternFill patternType="solid">
        <fgColor theme="0"/>
        <bgColor rgb="FF0C343D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00FFFF"/>
        <bgColor rgb="FF00FFFF"/>
      </patternFill>
    </fill>
    <fill>
      <patternFill patternType="solid">
        <fgColor rgb="FFC27BA0"/>
        <bgColor rgb="FFC27BA0"/>
      </patternFill>
    </fill>
    <fill>
      <patternFill patternType="solid">
        <fgColor theme="5" tint="-0.249977111117893"/>
        <bgColor rgb="FFFFD966"/>
      </patternFill>
    </fill>
    <fill>
      <patternFill patternType="solid">
        <fgColor theme="5" tint="-0.249977111117893"/>
        <bgColor rgb="FFC27BA0"/>
      </patternFill>
    </fill>
    <fill>
      <patternFill patternType="solid">
        <fgColor theme="9" tint="-0.249977111117893"/>
        <bgColor rgb="FFC27BA0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9" tint="-0.249977111117893"/>
        <bgColor rgb="FF6D9EEB"/>
      </patternFill>
    </fill>
    <fill>
      <patternFill patternType="solid">
        <fgColor theme="7" tint="0.59999389629810485"/>
        <bgColor rgb="FFFFD966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-0.499984740745262"/>
        <bgColor rgb="FF6D9EEB"/>
      </patternFill>
    </fill>
    <fill>
      <patternFill patternType="solid">
        <fgColor theme="5" tint="0.39997558519241921"/>
        <bgColor rgb="FFFFD966"/>
      </patternFill>
    </fill>
    <fill>
      <patternFill patternType="solid">
        <fgColor theme="5" tint="0.39997558519241921"/>
        <bgColor rgb="FFC27BA0"/>
      </patternFill>
    </fill>
    <fill>
      <patternFill patternType="solid">
        <fgColor theme="8" tint="-0.249977111117893"/>
        <bgColor rgb="FFFFD966"/>
      </patternFill>
    </fill>
    <fill>
      <patternFill patternType="solid">
        <fgColor theme="9" tint="-0.499984740745262"/>
        <bgColor rgb="FF93C47D"/>
      </patternFill>
    </fill>
    <fill>
      <patternFill patternType="solid">
        <fgColor theme="9" tint="-0.499984740745262"/>
        <bgColor rgb="FFC27BA0"/>
      </patternFill>
    </fill>
    <fill>
      <patternFill patternType="solid">
        <fgColor rgb="FF00B0F0"/>
        <bgColor rgb="FFC27BA0"/>
      </patternFill>
    </fill>
    <fill>
      <patternFill patternType="solid">
        <fgColor rgb="FF00B050"/>
        <bgColor rgb="FFC27BA0"/>
      </patternFill>
    </fill>
    <fill>
      <patternFill patternType="solid">
        <fgColor rgb="FF00B050"/>
        <bgColor rgb="FF93C47D"/>
      </patternFill>
    </fill>
    <fill>
      <patternFill patternType="solid">
        <fgColor rgb="FF00B050"/>
        <bgColor rgb="FF00FFFF"/>
      </patternFill>
    </fill>
    <fill>
      <patternFill patternType="solid">
        <fgColor theme="0"/>
        <bgColor rgb="FFC27BA0"/>
      </patternFill>
    </fill>
    <fill>
      <patternFill patternType="solid">
        <fgColor theme="9" tint="-0.499984740745262"/>
        <bgColor rgb="FFEFEFEF"/>
      </patternFill>
    </fill>
    <fill>
      <patternFill patternType="solid">
        <fgColor rgb="FF00B0F0"/>
        <bgColor rgb="FFFFD966"/>
      </patternFill>
    </fill>
    <fill>
      <patternFill patternType="solid">
        <fgColor rgb="FFFF0000"/>
        <bgColor rgb="FF6D9EEB"/>
      </patternFill>
    </fill>
    <fill>
      <patternFill patternType="solid">
        <fgColor rgb="FFFFFFFF"/>
        <bgColor rgb="FFFFFFFF"/>
      </patternFill>
    </fill>
    <fill>
      <patternFill patternType="solid">
        <fgColor theme="6" tint="-0.249977111117893"/>
        <bgColor rgb="FF6D9EEB"/>
      </patternFill>
    </fill>
    <fill>
      <patternFill patternType="solid">
        <fgColor rgb="FFF600E4"/>
        <bgColor rgb="FFC27BA0"/>
      </patternFill>
    </fill>
    <fill>
      <patternFill patternType="solid">
        <fgColor rgb="FFF600E4"/>
        <bgColor rgb="FFEFEFEF"/>
      </patternFill>
    </fill>
    <fill>
      <patternFill patternType="solid">
        <fgColor rgb="FFF600E4"/>
        <bgColor rgb="FF93C47D"/>
      </patternFill>
    </fill>
    <fill>
      <patternFill patternType="solid">
        <fgColor rgb="FFF600E4"/>
        <bgColor rgb="FF6D9EEB"/>
      </patternFill>
    </fill>
    <fill>
      <patternFill patternType="solid">
        <fgColor rgb="FF7030A0"/>
        <bgColor rgb="FFEFEFEF"/>
      </patternFill>
    </fill>
    <fill>
      <patternFill patternType="solid">
        <fgColor rgb="FF7030A0"/>
        <bgColor rgb="FF6D9EEB"/>
      </patternFill>
    </fill>
    <fill>
      <patternFill patternType="solid">
        <fgColor rgb="FFFFC000"/>
        <bgColor rgb="FFC27BA0"/>
      </patternFill>
    </fill>
    <fill>
      <patternFill patternType="solid">
        <fgColor rgb="FF92D050"/>
        <bgColor rgb="FFEFEFEF"/>
      </patternFill>
    </fill>
    <fill>
      <patternFill patternType="solid">
        <fgColor theme="5" tint="0.59999389629810485"/>
        <bgColor rgb="FFC27BA0"/>
      </patternFill>
    </fill>
    <fill>
      <patternFill patternType="solid">
        <fgColor rgb="FF92D050"/>
        <bgColor rgb="FF00FFFF"/>
      </patternFill>
    </fill>
    <fill>
      <patternFill patternType="solid">
        <fgColor theme="5" tint="0.59999389629810485"/>
        <bgColor rgb="FF6D9EEB"/>
      </patternFill>
    </fill>
    <fill>
      <patternFill patternType="solid">
        <fgColor rgb="FFA206B2"/>
        <bgColor rgb="FFC27BA0"/>
      </patternFill>
    </fill>
    <fill>
      <patternFill patternType="solid">
        <fgColor rgb="FFA206B2"/>
        <bgColor rgb="FFEFEFEF"/>
      </patternFill>
    </fill>
    <fill>
      <patternFill patternType="solid">
        <fgColor rgb="FFA206B2"/>
        <bgColor rgb="FF93C47D"/>
      </patternFill>
    </fill>
    <fill>
      <patternFill patternType="solid">
        <fgColor rgb="FF00B0F0"/>
        <bgColor rgb="FF00FFFF"/>
      </patternFill>
    </fill>
    <fill>
      <patternFill patternType="solid">
        <fgColor rgb="FFFFFF00"/>
        <bgColor rgb="FF00FFFF"/>
      </patternFill>
    </fill>
    <fill>
      <patternFill patternType="solid">
        <fgColor rgb="FFFFFF00"/>
        <bgColor rgb="FFC27BA0"/>
      </patternFill>
    </fill>
    <fill>
      <patternFill patternType="solid">
        <fgColor rgb="FFFFFF00"/>
        <bgColor rgb="FF93C47D"/>
      </patternFill>
    </fill>
    <fill>
      <patternFill patternType="solid">
        <fgColor theme="8" tint="0.59999389629810485"/>
        <bgColor rgb="FF93C47D"/>
      </patternFill>
    </fill>
    <fill>
      <patternFill patternType="solid">
        <fgColor theme="9" tint="-0.499984740745262"/>
        <bgColor rgb="FF00FFFF"/>
      </patternFill>
    </fill>
    <fill>
      <patternFill patternType="solid">
        <fgColor theme="0"/>
        <bgColor rgb="FF6D9EEB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00FFFF"/>
      </patternFill>
    </fill>
    <fill>
      <patternFill patternType="solid">
        <fgColor rgb="FFA206B2"/>
        <bgColor rgb="FF00FFFF"/>
      </patternFill>
    </fill>
    <fill>
      <patternFill patternType="solid">
        <fgColor theme="0"/>
        <bgColor rgb="FF00FF00"/>
      </patternFill>
    </fill>
    <fill>
      <patternFill patternType="solid">
        <fgColor rgb="FF92D050"/>
        <bgColor rgb="FF6D9EEB"/>
      </patternFill>
    </fill>
    <fill>
      <patternFill patternType="solid">
        <fgColor rgb="FF92D050"/>
        <bgColor rgb="FF93C47D"/>
      </patternFill>
    </fill>
    <fill>
      <patternFill patternType="solid">
        <fgColor rgb="FF92D050"/>
        <bgColor rgb="FFC27BA0"/>
      </patternFill>
    </fill>
    <fill>
      <patternFill patternType="solid">
        <fgColor rgb="FF0070C0"/>
        <bgColor rgb="FF6D9EEB"/>
      </patternFill>
    </fill>
    <fill>
      <patternFill patternType="solid">
        <fgColor rgb="FF0070C0"/>
        <bgColor rgb="FFEFEFEF"/>
      </patternFill>
    </fill>
    <fill>
      <patternFill patternType="solid">
        <fgColor theme="1" tint="0.14999847407452621"/>
        <bgColor rgb="FF6D9EEB"/>
      </patternFill>
    </fill>
    <fill>
      <patternFill patternType="solid">
        <fgColor rgb="FF0070C0"/>
        <bgColor rgb="FF93C47D"/>
      </patternFill>
    </fill>
    <fill>
      <patternFill patternType="solid">
        <fgColor theme="1" tint="0.14999847407452621"/>
        <bgColor rgb="FF93C47D"/>
      </patternFill>
    </fill>
    <fill>
      <patternFill patternType="solid">
        <fgColor theme="9" tint="-0.249977111117893"/>
        <bgColor rgb="FFEFEFEF"/>
      </patternFill>
    </fill>
    <fill>
      <patternFill patternType="solid">
        <fgColor rgb="FF0070C0"/>
        <bgColor rgb="FFC27BA0"/>
      </patternFill>
    </fill>
    <fill>
      <patternFill patternType="solid">
        <fgColor rgb="FFFF0000"/>
        <bgColor rgb="FFC27BA0"/>
      </patternFill>
    </fill>
    <fill>
      <patternFill patternType="solid">
        <fgColor theme="1" tint="0.14999847407452621"/>
        <bgColor rgb="FFC27BA0"/>
      </patternFill>
    </fill>
    <fill>
      <patternFill patternType="solid">
        <fgColor theme="5" tint="-0.499984740745262"/>
        <bgColor rgb="FFEFEFEF"/>
      </patternFill>
    </fill>
    <fill>
      <patternFill patternType="solid">
        <fgColor rgb="FFFF0000"/>
        <bgColor rgb="FF00FFFF"/>
      </patternFill>
    </fill>
    <fill>
      <patternFill patternType="solid">
        <fgColor rgb="FF0070C0"/>
        <bgColor rgb="FF00FFFF"/>
      </patternFill>
    </fill>
    <fill>
      <patternFill patternType="solid">
        <fgColor theme="5" tint="-0.499984740745262"/>
        <bgColor rgb="FF93C47D"/>
      </patternFill>
    </fill>
    <fill>
      <patternFill patternType="solid">
        <fgColor rgb="FF7030A0"/>
        <bgColor rgb="FF93C47D"/>
      </patternFill>
    </fill>
    <fill>
      <patternFill patternType="solid">
        <fgColor rgb="FFFFFF00"/>
        <bgColor rgb="FF6D9EEB"/>
      </patternFill>
    </fill>
    <fill>
      <patternFill patternType="solid">
        <fgColor rgb="FF002060"/>
        <bgColor rgb="FFEFEFEF"/>
      </patternFill>
    </fill>
    <fill>
      <patternFill patternType="solid">
        <fgColor rgb="FFC00000"/>
        <bgColor rgb="FFEFEFEF"/>
      </patternFill>
    </fill>
    <fill>
      <patternFill patternType="solid">
        <fgColor rgb="FF002060"/>
        <bgColor rgb="FFC27BA0"/>
      </patternFill>
    </fill>
    <fill>
      <patternFill patternType="solid">
        <fgColor rgb="FFC00000"/>
        <bgColor rgb="FF6D9EEB"/>
      </patternFill>
    </fill>
    <fill>
      <patternFill patternType="solid">
        <fgColor rgb="FF002060"/>
        <bgColor rgb="FF93C47D"/>
      </patternFill>
    </fill>
    <fill>
      <patternFill patternType="solid">
        <fgColor rgb="FF002060"/>
        <bgColor rgb="FF00FFFF"/>
      </patternFill>
    </fill>
    <fill>
      <patternFill patternType="solid">
        <fgColor rgb="FFFF0000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FFFF00"/>
        <bgColor rgb="FFFFFF00"/>
      </patternFill>
    </fill>
    <fill>
      <patternFill patternType="solid">
        <fgColor rgb="FF7F6000"/>
        <bgColor rgb="FF7F6000"/>
      </patternFill>
    </fill>
    <fill>
      <patternFill patternType="solid">
        <fgColor rgb="FFF600E4"/>
        <bgColor indexed="64"/>
      </patternFill>
    </fill>
    <fill>
      <patternFill patternType="solid">
        <fgColor rgb="FFF600E4"/>
        <bgColor rgb="FFB6D7A8"/>
      </patternFill>
    </fill>
    <fill>
      <patternFill patternType="solid">
        <fgColor theme="8" tint="0.59999389629810485"/>
        <bgColor rgb="FFC27BA0"/>
      </patternFill>
    </fill>
    <fill>
      <patternFill patternType="solid">
        <fgColor theme="8" tint="0.59999389629810485"/>
        <bgColor rgb="FFB6D7A8"/>
      </patternFill>
    </fill>
    <fill>
      <patternFill patternType="solid">
        <fgColor theme="8" tint="0.59999389629810485"/>
        <bgColor rgb="FF6D9EEB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FFFF"/>
      </patternFill>
    </fill>
    <fill>
      <patternFill patternType="solid">
        <fgColor theme="4" tint="0.59999389629810485"/>
        <bgColor rgb="FF93C47D"/>
      </patternFill>
    </fill>
    <fill>
      <patternFill patternType="solid">
        <fgColor theme="8" tint="0.39997558519241921"/>
        <bgColor rgb="FFEFEFEF"/>
      </patternFill>
    </fill>
    <fill>
      <patternFill patternType="solid">
        <fgColor rgb="FFA206B2"/>
        <bgColor rgb="FF6D9EEB"/>
      </patternFill>
    </fill>
    <fill>
      <patternFill patternType="solid">
        <fgColor theme="8" tint="0.39997558519241921"/>
        <bgColor rgb="FF00FFFF"/>
      </patternFill>
    </fill>
    <fill>
      <patternFill patternType="solid">
        <fgColor theme="8" tint="0.39997558519241921"/>
        <bgColor rgb="FF93C47D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rgb="FFEFEFEF"/>
      </patternFill>
    </fill>
    <fill>
      <patternFill patternType="solid">
        <fgColor theme="4" tint="0.59999389629810485"/>
        <bgColor rgb="FFEFEFEF"/>
      </patternFill>
    </fill>
    <fill>
      <patternFill patternType="solid">
        <fgColor theme="8" tint="0.59999389629810485"/>
        <bgColor rgb="FFEFEFEF"/>
      </patternFill>
    </fill>
    <fill>
      <patternFill patternType="solid">
        <fgColor theme="7" tint="0.59999389629810485"/>
        <bgColor rgb="FFEFEFEF"/>
      </patternFill>
    </fill>
    <fill>
      <patternFill patternType="solid">
        <fgColor theme="7" tint="0.39997558519241921"/>
        <bgColor rgb="FFEFEFEF"/>
      </patternFill>
    </fill>
    <fill>
      <patternFill patternType="solid">
        <fgColor theme="5" tint="-0.249977111117893"/>
        <bgColor rgb="FFEFEFEF"/>
      </patternFill>
    </fill>
    <fill>
      <patternFill patternType="solid">
        <fgColor theme="9" tint="0.39997558519241921"/>
        <bgColor rgb="FFEFEFEF"/>
      </patternFill>
    </fill>
    <fill>
      <patternFill patternType="solid">
        <fgColor theme="0"/>
        <bgColor rgb="FF93C47D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817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0" fillId="0" borderId="0" xfId="0" applyAlignment="1">
      <alignment wrapText="1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0" xfId="0" applyFill="1"/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7" borderId="0" xfId="0" applyFill="1"/>
    <xf numFmtId="0" fontId="0" fillId="8" borderId="0" xfId="0" applyFill="1"/>
    <xf numFmtId="0" fontId="1" fillId="9" borderId="1" xfId="0" applyFont="1" applyFill="1" applyBorder="1" applyAlignment="1">
      <alignment horizontal="center" vertical="center"/>
    </xf>
    <xf numFmtId="0" fontId="0" fillId="9" borderId="0" xfId="0" applyFill="1"/>
    <xf numFmtId="0" fontId="8" fillId="10" borderId="11" xfId="0" applyFont="1" applyFill="1" applyBorder="1" applyAlignment="1">
      <alignment horizontal="center" vertical="center"/>
    </xf>
    <xf numFmtId="0" fontId="8" fillId="11" borderId="11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9" fillId="13" borderId="11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9" fillId="15" borderId="11" xfId="0" applyFont="1" applyFill="1" applyBorder="1" applyAlignment="1">
      <alignment horizontal="center" vertical="center"/>
    </xf>
    <xf numFmtId="0" fontId="9" fillId="16" borderId="11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6" fillId="18" borderId="11" xfId="0" applyFont="1" applyFill="1" applyBorder="1" applyAlignment="1">
      <alignment horizontal="center" vertical="center"/>
    </xf>
    <xf numFmtId="0" fontId="9" fillId="19" borderId="11" xfId="0" applyFont="1" applyFill="1" applyBorder="1" applyAlignment="1">
      <alignment horizontal="center" vertical="center"/>
    </xf>
    <xf numFmtId="0" fontId="8" fillId="20" borderId="11" xfId="0" applyFont="1" applyFill="1" applyBorder="1" applyAlignment="1">
      <alignment horizontal="center" vertical="center"/>
    </xf>
    <xf numFmtId="0" fontId="9" fillId="21" borderId="11" xfId="0" applyFont="1" applyFill="1" applyBorder="1" applyAlignment="1">
      <alignment horizontal="center" vertical="center"/>
    </xf>
    <xf numFmtId="0" fontId="8" fillId="23" borderId="11" xfId="0" applyFont="1" applyFill="1" applyBorder="1" applyAlignment="1">
      <alignment horizontal="center" vertical="center"/>
    </xf>
    <xf numFmtId="0" fontId="8" fillId="24" borderId="11" xfId="0" applyFont="1" applyFill="1" applyBorder="1" applyAlignment="1">
      <alignment horizontal="center" vertical="center"/>
    </xf>
    <xf numFmtId="0" fontId="9" fillId="29" borderId="11" xfId="0" applyFont="1" applyFill="1" applyBorder="1" applyAlignment="1">
      <alignment horizontal="center" vertical="center"/>
    </xf>
    <xf numFmtId="0" fontId="8" fillId="30" borderId="11" xfId="0" applyFont="1" applyFill="1" applyBorder="1" applyAlignment="1">
      <alignment horizontal="center" vertical="center"/>
    </xf>
    <xf numFmtId="0" fontId="8" fillId="31" borderId="11" xfId="0" applyFont="1" applyFill="1" applyBorder="1" applyAlignment="1">
      <alignment horizontal="center" vertical="center"/>
    </xf>
    <xf numFmtId="0" fontId="8" fillId="32" borderId="11" xfId="0" applyFont="1" applyFill="1" applyBorder="1" applyAlignment="1">
      <alignment horizontal="center" vertical="center"/>
    </xf>
    <xf numFmtId="0" fontId="8" fillId="33" borderId="11" xfId="0" applyFont="1" applyFill="1" applyBorder="1" applyAlignment="1">
      <alignment horizontal="center" vertical="center"/>
    </xf>
    <xf numFmtId="0" fontId="8" fillId="26" borderId="11" xfId="0" applyFont="1" applyFill="1" applyBorder="1" applyAlignment="1">
      <alignment horizontal="center" vertical="center"/>
    </xf>
    <xf numFmtId="0" fontId="6" fillId="27" borderId="11" xfId="0" applyFont="1" applyFill="1" applyBorder="1" applyAlignment="1">
      <alignment horizontal="center" vertical="center"/>
    </xf>
    <xf numFmtId="0" fontId="8" fillId="28" borderId="11" xfId="0" applyFont="1" applyFill="1" applyBorder="1" applyAlignment="1">
      <alignment horizontal="center" vertical="center"/>
    </xf>
    <xf numFmtId="0" fontId="9" fillId="0" borderId="0" xfId="0" applyFont="1"/>
    <xf numFmtId="0" fontId="8" fillId="27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8" borderId="11" xfId="0" applyFont="1" applyFill="1" applyBorder="1" applyAlignment="1">
      <alignment horizontal="center" vertical="center"/>
    </xf>
    <xf numFmtId="0" fontId="9" fillId="4" borderId="0" xfId="0" applyFont="1" applyFill="1"/>
    <xf numFmtId="0" fontId="8" fillId="35" borderId="18" xfId="0" applyFont="1" applyFill="1" applyBorder="1" applyAlignment="1">
      <alignment horizontal="center" vertical="center"/>
    </xf>
    <xf numFmtId="0" fontId="9" fillId="40" borderId="11" xfId="0" applyFont="1" applyFill="1" applyBorder="1" applyAlignment="1">
      <alignment horizontal="center" vertical="center"/>
    </xf>
    <xf numFmtId="0" fontId="9" fillId="41" borderId="11" xfId="0" applyFont="1" applyFill="1" applyBorder="1" applyAlignment="1">
      <alignment horizontal="center" vertical="center"/>
    </xf>
    <xf numFmtId="0" fontId="6" fillId="42" borderId="11" xfId="0" applyFont="1" applyFill="1" applyBorder="1" applyAlignment="1">
      <alignment horizontal="center" vertical="center"/>
    </xf>
    <xf numFmtId="0" fontId="8" fillId="47" borderId="11" xfId="0" applyFont="1" applyFill="1" applyBorder="1" applyAlignment="1">
      <alignment horizontal="center" vertical="center"/>
    </xf>
    <xf numFmtId="0" fontId="6" fillId="37" borderId="11" xfId="0" applyFont="1" applyFill="1" applyBorder="1" applyAlignment="1">
      <alignment horizontal="center" vertical="center"/>
    </xf>
    <xf numFmtId="0" fontId="9" fillId="43" borderId="11" xfId="0" applyFont="1" applyFill="1" applyBorder="1" applyAlignment="1">
      <alignment horizontal="center" vertical="center"/>
    </xf>
    <xf numFmtId="0" fontId="8" fillId="49" borderId="11" xfId="0" applyFont="1" applyFill="1" applyBorder="1" applyAlignment="1">
      <alignment horizontal="center" vertical="center"/>
    </xf>
    <xf numFmtId="0" fontId="8" fillId="10" borderId="24" xfId="0" applyFont="1" applyFill="1" applyBorder="1"/>
    <xf numFmtId="0" fontId="8" fillId="35" borderId="25" xfId="0" applyFont="1" applyFill="1" applyBorder="1" applyAlignment="1">
      <alignment horizontal="center" vertical="center"/>
    </xf>
    <xf numFmtId="0" fontId="8" fillId="36" borderId="25" xfId="0" applyFont="1" applyFill="1" applyBorder="1"/>
    <xf numFmtId="0" fontId="8" fillId="37" borderId="26" xfId="0" applyFont="1" applyFill="1" applyBorder="1"/>
    <xf numFmtId="0" fontId="8" fillId="39" borderId="25" xfId="0" applyFont="1" applyFill="1" applyBorder="1"/>
    <xf numFmtId="0" fontId="8" fillId="38" borderId="25" xfId="0" applyFont="1" applyFill="1" applyBorder="1"/>
    <xf numFmtId="0" fontId="0" fillId="4" borderId="0" xfId="0" applyFill="1"/>
    <xf numFmtId="0" fontId="8" fillId="4" borderId="0" xfId="0" applyFont="1" applyFill="1" applyAlignment="1">
      <alignment horizontal="center" vertical="center"/>
    </xf>
    <xf numFmtId="0" fontId="10" fillId="49" borderId="11" xfId="0" applyFont="1" applyFill="1" applyBorder="1" applyAlignment="1">
      <alignment horizontal="center" vertical="center"/>
    </xf>
    <xf numFmtId="0" fontId="14" fillId="15" borderId="11" xfId="0" applyFont="1" applyFill="1" applyBorder="1" applyAlignment="1">
      <alignment horizontal="center" vertical="center"/>
    </xf>
    <xf numFmtId="0" fontId="8" fillId="10" borderId="15" xfId="0" applyFont="1" applyFill="1" applyBorder="1"/>
    <xf numFmtId="0" fontId="8" fillId="39" borderId="18" xfId="0" applyFont="1" applyFill="1" applyBorder="1"/>
    <xf numFmtId="0" fontId="8" fillId="38" borderId="18" xfId="0" applyFont="1" applyFill="1" applyBorder="1"/>
    <xf numFmtId="0" fontId="8" fillId="36" borderId="18" xfId="0" applyFont="1" applyFill="1" applyBorder="1"/>
    <xf numFmtId="0" fontId="8" fillId="37" borderId="18" xfId="0" applyFont="1" applyFill="1" applyBorder="1"/>
    <xf numFmtId="0" fontId="10" fillId="52" borderId="11" xfId="0" applyFont="1" applyFill="1" applyBorder="1" applyAlignment="1">
      <alignment horizontal="center" vertical="center"/>
    </xf>
    <xf numFmtId="0" fontId="10" fillId="38" borderId="11" xfId="0" applyFont="1" applyFill="1" applyBorder="1" applyAlignment="1">
      <alignment horizontal="center" vertical="center"/>
    </xf>
    <xf numFmtId="0" fontId="10" fillId="37" borderId="11" xfId="0" applyFont="1" applyFill="1" applyBorder="1" applyAlignment="1">
      <alignment horizontal="center" vertical="center"/>
    </xf>
    <xf numFmtId="0" fontId="11" fillId="40" borderId="0" xfId="0" applyFont="1" applyFill="1"/>
    <xf numFmtId="0" fontId="8" fillId="37" borderId="20" xfId="0" applyFont="1" applyFill="1" applyBorder="1"/>
    <xf numFmtId="0" fontId="6" fillId="36" borderId="11" xfId="0" applyFont="1" applyFill="1" applyBorder="1" applyAlignment="1">
      <alignment horizontal="center" vertical="center"/>
    </xf>
    <xf numFmtId="0" fontId="6" fillId="57" borderId="11" xfId="0" applyFont="1" applyFill="1" applyBorder="1" applyAlignment="1">
      <alignment horizontal="center" vertical="center"/>
    </xf>
    <xf numFmtId="0" fontId="6" fillId="58" borderId="11" xfId="0" applyFont="1" applyFill="1" applyBorder="1" applyAlignment="1">
      <alignment horizontal="center" vertical="center"/>
    </xf>
    <xf numFmtId="0" fontId="6" fillId="59" borderId="11" xfId="0" applyFont="1" applyFill="1" applyBorder="1" applyAlignment="1">
      <alignment horizontal="center" vertical="center"/>
    </xf>
    <xf numFmtId="0" fontId="6" fillId="60" borderId="11" xfId="0" applyFont="1" applyFill="1" applyBorder="1" applyAlignment="1">
      <alignment horizontal="center" vertical="center"/>
    </xf>
    <xf numFmtId="0" fontId="9" fillId="61" borderId="20" xfId="0" applyFont="1" applyFill="1" applyBorder="1"/>
    <xf numFmtId="0" fontId="8" fillId="55" borderId="11" xfId="0" applyFont="1" applyFill="1" applyBorder="1" applyAlignment="1">
      <alignment horizontal="center" vertical="center"/>
    </xf>
    <xf numFmtId="0" fontId="8" fillId="54" borderId="11" xfId="0" applyFont="1" applyFill="1" applyBorder="1" applyAlignment="1">
      <alignment horizontal="center" vertical="center"/>
    </xf>
    <xf numFmtId="0" fontId="8" fillId="38" borderId="11" xfId="0" applyFont="1" applyFill="1" applyBorder="1" applyAlignment="1">
      <alignment horizontal="center" vertical="center"/>
    </xf>
    <xf numFmtId="0" fontId="8" fillId="51" borderId="11" xfId="0" applyFont="1" applyFill="1" applyBorder="1" applyAlignment="1">
      <alignment horizontal="center" vertical="center"/>
    </xf>
    <xf numFmtId="0" fontId="8" fillId="39" borderId="11" xfId="0" applyFont="1" applyFill="1" applyBorder="1" applyAlignment="1">
      <alignment horizontal="center" vertical="center"/>
    </xf>
    <xf numFmtId="0" fontId="6" fillId="62" borderId="11" xfId="0" applyFont="1" applyFill="1" applyBorder="1" applyAlignment="1">
      <alignment horizontal="center" vertical="center"/>
    </xf>
    <xf numFmtId="0" fontId="8" fillId="65" borderId="11" xfId="0" applyFont="1" applyFill="1" applyBorder="1" applyAlignment="1">
      <alignment horizontal="center" vertical="center"/>
    </xf>
    <xf numFmtId="0" fontId="8" fillId="64" borderId="11" xfId="0" applyFont="1" applyFill="1" applyBorder="1" applyAlignment="1">
      <alignment horizontal="center" vertical="center"/>
    </xf>
    <xf numFmtId="0" fontId="6" fillId="66" borderId="11" xfId="0" applyFont="1" applyFill="1" applyBorder="1" applyAlignment="1">
      <alignment horizontal="center" vertical="center"/>
    </xf>
    <xf numFmtId="0" fontId="6" fillId="67" borderId="11" xfId="0" applyFont="1" applyFill="1" applyBorder="1" applyAlignment="1">
      <alignment horizontal="center" vertical="center"/>
    </xf>
    <xf numFmtId="0" fontId="6" fillId="68" borderId="11" xfId="0" applyFont="1" applyFill="1" applyBorder="1" applyAlignment="1">
      <alignment horizontal="center" vertical="center"/>
    </xf>
    <xf numFmtId="0" fontId="1" fillId="12" borderId="11" xfId="0" applyFont="1" applyFill="1" applyBorder="1" applyAlignment="1">
      <alignment horizontal="center" vertical="center"/>
    </xf>
    <xf numFmtId="0" fontId="8" fillId="70" borderId="1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5" fillId="69" borderId="11" xfId="0" applyFont="1" applyFill="1" applyBorder="1" applyAlignment="1">
      <alignment horizontal="center" vertical="center"/>
    </xf>
    <xf numFmtId="0" fontId="13" fillId="71" borderId="2" xfId="0" applyFont="1" applyFill="1" applyBorder="1"/>
    <xf numFmtId="0" fontId="0" fillId="4" borderId="0" xfId="0" applyFill="1" applyAlignment="1">
      <alignment wrapText="1"/>
    </xf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vertical="center" wrapText="1"/>
    </xf>
    <xf numFmtId="0" fontId="12" fillId="77" borderId="11" xfId="0" applyFont="1" applyFill="1" applyBorder="1" applyAlignment="1">
      <alignment horizontal="center" vertical="center"/>
    </xf>
    <xf numFmtId="0" fontId="12" fillId="76" borderId="11" xfId="0" applyFont="1" applyFill="1" applyBorder="1" applyAlignment="1">
      <alignment horizontal="center" vertical="center"/>
    </xf>
    <xf numFmtId="0" fontId="12" fillId="75" borderId="11" xfId="0" applyFont="1" applyFill="1" applyBorder="1" applyAlignment="1">
      <alignment horizontal="center" vertical="center"/>
    </xf>
    <xf numFmtId="0" fontId="8" fillId="76" borderId="11" xfId="0" applyFont="1" applyFill="1" applyBorder="1" applyAlignment="1">
      <alignment horizontal="center" vertical="center"/>
    </xf>
    <xf numFmtId="0" fontId="9" fillId="29" borderId="27" xfId="0" applyFont="1" applyFill="1" applyBorder="1" applyAlignment="1">
      <alignment horizontal="center" vertical="center"/>
    </xf>
    <xf numFmtId="0" fontId="8" fillId="77" borderId="11" xfId="0" applyFont="1" applyFill="1" applyBorder="1" applyAlignment="1">
      <alignment horizontal="center" vertical="center"/>
    </xf>
    <xf numFmtId="0" fontId="6" fillId="78" borderId="11" xfId="0" applyFont="1" applyFill="1" applyBorder="1" applyAlignment="1">
      <alignment horizontal="center" vertical="center"/>
    </xf>
    <xf numFmtId="0" fontId="8" fillId="81" borderId="11" xfId="0" applyFont="1" applyFill="1" applyBorder="1" applyAlignment="1">
      <alignment horizontal="center" vertical="center"/>
    </xf>
    <xf numFmtId="0" fontId="8" fillId="82" borderId="11" xfId="0" applyFont="1" applyFill="1" applyBorder="1" applyAlignment="1">
      <alignment horizontal="center" vertical="center"/>
    </xf>
    <xf numFmtId="0" fontId="8" fillId="83" borderId="11" xfId="0" applyFont="1" applyFill="1" applyBorder="1" applyAlignment="1">
      <alignment horizontal="center" vertical="center"/>
    </xf>
    <xf numFmtId="0" fontId="8" fillId="84" borderId="1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8" fillId="4" borderId="0" xfId="0" applyFont="1" applyFill="1" applyAlignment="1">
      <alignment vertical="center" wrapText="1"/>
    </xf>
    <xf numFmtId="0" fontId="12" fillId="82" borderId="11" xfId="0" applyFont="1" applyFill="1" applyBorder="1" applyAlignment="1">
      <alignment horizontal="center" vertical="center"/>
    </xf>
    <xf numFmtId="0" fontId="8" fillId="86" borderId="11" xfId="0" applyFont="1" applyFill="1" applyBorder="1" applyAlignment="1">
      <alignment horizontal="center" vertical="center"/>
    </xf>
    <xf numFmtId="0" fontId="8" fillId="87" borderId="11" xfId="0" applyFont="1" applyFill="1" applyBorder="1" applyAlignment="1">
      <alignment horizontal="center" vertical="center"/>
    </xf>
    <xf numFmtId="0" fontId="8" fillId="88" borderId="11" xfId="0" applyFont="1" applyFill="1" applyBorder="1" applyAlignment="1">
      <alignment horizontal="center" vertical="center"/>
    </xf>
    <xf numFmtId="0" fontId="6" fillId="89" borderId="11" xfId="0" applyFont="1" applyFill="1" applyBorder="1" applyAlignment="1">
      <alignment horizontal="center" vertical="center"/>
    </xf>
    <xf numFmtId="0" fontId="6" fillId="90" borderId="11" xfId="0" applyFont="1" applyFill="1" applyBorder="1" applyAlignment="1">
      <alignment horizontal="center" vertical="center"/>
    </xf>
    <xf numFmtId="0" fontId="8" fillId="91" borderId="11" xfId="0" applyFont="1" applyFill="1" applyBorder="1" applyAlignment="1">
      <alignment horizontal="center" vertical="center"/>
    </xf>
    <xf numFmtId="0" fontId="8" fillId="92" borderId="11" xfId="0" applyFont="1" applyFill="1" applyBorder="1" applyAlignment="1">
      <alignment horizontal="center" vertical="center"/>
    </xf>
    <xf numFmtId="0" fontId="8" fillId="93" borderId="11" xfId="0" applyFont="1" applyFill="1" applyBorder="1" applyAlignment="1">
      <alignment horizontal="center" vertical="center"/>
    </xf>
    <xf numFmtId="0" fontId="8" fillId="94" borderId="11" xfId="0" applyFont="1" applyFill="1" applyBorder="1" applyAlignment="1">
      <alignment horizontal="center" vertical="center"/>
    </xf>
    <xf numFmtId="0" fontId="9" fillId="95" borderId="11" xfId="0" applyFont="1" applyFill="1" applyBorder="1" applyAlignment="1">
      <alignment horizontal="center" vertical="center"/>
    </xf>
    <xf numFmtId="0" fontId="6" fillId="85" borderId="11" xfId="0" applyFont="1" applyFill="1" applyBorder="1" applyAlignment="1">
      <alignment horizontal="center" vertical="center"/>
    </xf>
    <xf numFmtId="0" fontId="6" fillId="96" borderId="11" xfId="0" applyFont="1" applyFill="1" applyBorder="1" applyAlignment="1">
      <alignment horizontal="center" vertical="center"/>
    </xf>
    <xf numFmtId="0" fontId="8" fillId="42" borderId="11" xfId="0" applyFont="1" applyFill="1" applyBorder="1" applyAlignment="1">
      <alignment horizontal="center" vertical="center"/>
    </xf>
    <xf numFmtId="0" fontId="8" fillId="101" borderId="11" xfId="0" applyFont="1" applyFill="1" applyBorder="1" applyAlignment="1">
      <alignment horizontal="center" vertical="center"/>
    </xf>
    <xf numFmtId="0" fontId="8" fillId="102" borderId="11" xfId="0" applyFont="1" applyFill="1" applyBorder="1" applyAlignment="1">
      <alignment horizontal="center" vertical="center"/>
    </xf>
    <xf numFmtId="0" fontId="8" fillId="103" borderId="11" xfId="0" applyFont="1" applyFill="1" applyBorder="1" applyAlignment="1">
      <alignment horizontal="center" vertical="center"/>
    </xf>
    <xf numFmtId="0" fontId="8" fillId="103" borderId="14" xfId="0" applyFont="1" applyFill="1" applyBorder="1" applyAlignment="1">
      <alignment horizontal="center" vertical="center"/>
    </xf>
    <xf numFmtId="0" fontId="8" fillId="105" borderId="11" xfId="0" applyFont="1" applyFill="1" applyBorder="1" applyAlignment="1">
      <alignment horizontal="center" vertical="center"/>
    </xf>
    <xf numFmtId="0" fontId="8" fillId="107" borderId="11" xfId="0" applyFont="1" applyFill="1" applyBorder="1" applyAlignment="1">
      <alignment horizontal="center" vertical="center"/>
    </xf>
    <xf numFmtId="0" fontId="8" fillId="74" borderId="11" xfId="0" applyFont="1" applyFill="1" applyBorder="1" applyAlignment="1">
      <alignment horizontal="center" vertical="center"/>
    </xf>
    <xf numFmtId="0" fontId="8" fillId="108" borderId="11" xfId="0" applyFont="1" applyFill="1" applyBorder="1" applyAlignment="1">
      <alignment horizontal="center" vertical="center"/>
    </xf>
    <xf numFmtId="0" fontId="8" fillId="109" borderId="11" xfId="0" applyFont="1" applyFill="1" applyBorder="1" applyAlignment="1">
      <alignment horizontal="center" vertical="center"/>
    </xf>
    <xf numFmtId="0" fontId="6" fillId="105" borderId="11" xfId="0" applyFont="1" applyFill="1" applyBorder="1" applyAlignment="1">
      <alignment horizontal="center" vertical="center"/>
    </xf>
    <xf numFmtId="0" fontId="16" fillId="0" borderId="0" xfId="0" applyFont="1"/>
    <xf numFmtId="0" fontId="8" fillId="115" borderId="12" xfId="0" applyFont="1" applyFill="1" applyBorder="1" applyAlignment="1">
      <alignment horizontal="center" vertical="center"/>
    </xf>
    <xf numFmtId="0" fontId="8" fillId="117" borderId="11" xfId="0" applyFont="1" applyFill="1" applyBorder="1" applyAlignment="1">
      <alignment horizontal="center" vertical="center"/>
    </xf>
    <xf numFmtId="0" fontId="8" fillId="119" borderId="12" xfId="0" applyFont="1" applyFill="1" applyBorder="1" applyAlignment="1">
      <alignment horizontal="center" vertical="center"/>
    </xf>
    <xf numFmtId="0" fontId="6" fillId="120" borderId="12" xfId="0" applyFont="1" applyFill="1" applyBorder="1" applyAlignment="1">
      <alignment horizontal="center" vertical="center"/>
    </xf>
    <xf numFmtId="0" fontId="8" fillId="93" borderId="12" xfId="0" applyFont="1" applyFill="1" applyBorder="1" applyAlignment="1">
      <alignment horizontal="center" vertical="center"/>
    </xf>
    <xf numFmtId="0" fontId="8" fillId="121" borderId="0" xfId="0" applyFont="1" applyFill="1" applyAlignment="1">
      <alignment horizontal="center" vertical="center"/>
    </xf>
    <xf numFmtId="0" fontId="9" fillId="123" borderId="0" xfId="0" applyFont="1" applyFill="1" applyAlignment="1">
      <alignment horizontal="center" vertical="center"/>
    </xf>
    <xf numFmtId="0" fontId="6" fillId="112" borderId="11" xfId="0" applyFont="1" applyFill="1" applyBorder="1" applyAlignment="1">
      <alignment horizontal="center" vertical="center"/>
    </xf>
    <xf numFmtId="0" fontId="6" fillId="114" borderId="11" xfId="0" applyFont="1" applyFill="1" applyBorder="1" applyAlignment="1">
      <alignment horizontal="center" vertical="center"/>
    </xf>
    <xf numFmtId="0" fontId="6" fillId="113" borderId="11" xfId="0" applyFont="1" applyFill="1" applyBorder="1" applyAlignment="1">
      <alignment horizontal="center" vertical="center"/>
    </xf>
    <xf numFmtId="0" fontId="6" fillId="114" borderId="12" xfId="0" applyFont="1" applyFill="1" applyBorder="1" applyAlignment="1">
      <alignment horizontal="center" vertical="center"/>
    </xf>
    <xf numFmtId="0" fontId="6" fillId="124" borderId="12" xfId="0" applyFont="1" applyFill="1" applyBorder="1" applyAlignment="1">
      <alignment horizontal="center" vertical="center"/>
    </xf>
    <xf numFmtId="0" fontId="8" fillId="125" borderId="0" xfId="0" applyFont="1" applyFill="1" applyAlignment="1">
      <alignment horizontal="center" vertical="center"/>
    </xf>
    <xf numFmtId="0" fontId="8" fillId="126" borderId="11" xfId="0" applyFont="1" applyFill="1" applyBorder="1" applyAlignment="1">
      <alignment horizontal="center" vertical="center"/>
    </xf>
    <xf numFmtId="0" fontId="8" fillId="41" borderId="0" xfId="0" applyFont="1" applyFill="1" applyAlignment="1">
      <alignment horizontal="center" vertical="center"/>
    </xf>
    <xf numFmtId="0" fontId="8" fillId="127" borderId="11" xfId="0" applyFont="1" applyFill="1" applyBorder="1" applyAlignment="1">
      <alignment horizontal="center" vertical="center"/>
    </xf>
    <xf numFmtId="0" fontId="8" fillId="128" borderId="11" xfId="0" applyFont="1" applyFill="1" applyBorder="1" applyAlignment="1">
      <alignment horizontal="center" vertical="center"/>
    </xf>
    <xf numFmtId="0" fontId="6" fillId="106" borderId="11" xfId="0" applyFont="1" applyFill="1" applyBorder="1" applyAlignment="1">
      <alignment horizontal="center" vertical="center"/>
    </xf>
    <xf numFmtId="0" fontId="6" fillId="130" borderId="11" xfId="0" applyFont="1" applyFill="1" applyBorder="1" applyAlignment="1">
      <alignment horizontal="center" vertical="center"/>
    </xf>
    <xf numFmtId="0" fontId="6" fillId="132" borderId="11" xfId="0" applyFont="1" applyFill="1" applyBorder="1" applyAlignment="1">
      <alignment horizontal="center" vertical="center"/>
    </xf>
    <xf numFmtId="0" fontId="6" fillId="133" borderId="11" xfId="0" applyFont="1" applyFill="1" applyBorder="1" applyAlignment="1">
      <alignment horizontal="center" vertical="center"/>
    </xf>
    <xf numFmtId="0" fontId="8" fillId="134" borderId="11" xfId="0" applyFont="1" applyFill="1" applyBorder="1" applyAlignment="1">
      <alignment horizontal="center" vertical="center"/>
    </xf>
    <xf numFmtId="0" fontId="6" fillId="135" borderId="11" xfId="0" applyFont="1" applyFill="1" applyBorder="1" applyAlignment="1">
      <alignment horizontal="center" vertical="center"/>
    </xf>
    <xf numFmtId="0" fontId="6" fillId="136" borderId="11" xfId="0" applyFont="1" applyFill="1" applyBorder="1" applyAlignment="1">
      <alignment horizontal="center" vertical="center"/>
    </xf>
    <xf numFmtId="0" fontId="8" fillId="110" borderId="11" xfId="0" applyFont="1" applyFill="1" applyBorder="1" applyAlignment="1">
      <alignment horizontal="center" vertical="center"/>
    </xf>
    <xf numFmtId="0" fontId="6" fillId="138" borderId="11" xfId="0" applyFont="1" applyFill="1" applyBorder="1" applyAlignment="1">
      <alignment horizontal="center" vertical="center"/>
    </xf>
    <xf numFmtId="0" fontId="8" fillId="95" borderId="0" xfId="0" applyFont="1" applyFill="1" applyAlignment="1">
      <alignment horizontal="center" vertical="center"/>
    </xf>
    <xf numFmtId="0" fontId="8" fillId="143" borderId="11" xfId="0" applyFont="1" applyFill="1" applyBorder="1" applyAlignment="1">
      <alignment horizontal="center" vertical="center"/>
    </xf>
    <xf numFmtId="0" fontId="8" fillId="116" borderId="11" xfId="0" applyFont="1" applyFill="1" applyBorder="1" applyAlignment="1">
      <alignment horizontal="center" vertical="center"/>
    </xf>
    <xf numFmtId="0" fontId="6" fillId="144" borderId="11" xfId="0" applyFont="1" applyFill="1" applyBorder="1" applyAlignment="1">
      <alignment horizontal="center" vertical="center"/>
    </xf>
    <xf numFmtId="0" fontId="6" fillId="145" borderId="11" xfId="0" applyFont="1" applyFill="1" applyBorder="1" applyAlignment="1">
      <alignment horizontal="center" vertical="center"/>
    </xf>
    <xf numFmtId="0" fontId="6" fillId="146" borderId="11" xfId="0" applyFont="1" applyFill="1" applyBorder="1" applyAlignment="1">
      <alignment horizontal="center" vertical="center"/>
    </xf>
    <xf numFmtId="0" fontId="8" fillId="4" borderId="0" xfId="0" applyFont="1" applyFill="1"/>
    <xf numFmtId="0" fontId="6" fillId="148" borderId="12" xfId="0" applyFont="1" applyFill="1" applyBorder="1" applyAlignment="1">
      <alignment horizontal="center" vertical="center"/>
    </xf>
    <xf numFmtId="0" fontId="10" fillId="151" borderId="11" xfId="0" applyFont="1" applyFill="1" applyBorder="1" applyAlignment="1">
      <alignment horizontal="center" vertical="center"/>
    </xf>
    <xf numFmtId="0" fontId="10" fillId="77" borderId="11" xfId="0" applyFont="1" applyFill="1" applyBorder="1" applyAlignment="1">
      <alignment horizontal="center" vertical="center"/>
    </xf>
    <xf numFmtId="0" fontId="14" fillId="29" borderId="11" xfId="0" applyFont="1" applyFill="1" applyBorder="1" applyAlignment="1">
      <alignment horizontal="center" vertical="center"/>
    </xf>
    <xf numFmtId="0" fontId="10" fillId="76" borderId="11" xfId="0" applyFont="1" applyFill="1" applyBorder="1" applyAlignment="1">
      <alignment horizontal="center" vertical="center"/>
    </xf>
    <xf numFmtId="0" fontId="10" fillId="152" borderId="11" xfId="0" applyFont="1" applyFill="1" applyBorder="1" applyAlignment="1">
      <alignment horizontal="center" vertical="center"/>
    </xf>
    <xf numFmtId="0" fontId="8" fillId="151" borderId="11" xfId="0" applyFont="1" applyFill="1" applyBorder="1" applyAlignment="1">
      <alignment horizontal="center" vertical="center"/>
    </xf>
    <xf numFmtId="0" fontId="6" fillId="153" borderId="11" xfId="0" applyFont="1" applyFill="1" applyBorder="1" applyAlignment="1">
      <alignment horizontal="center" vertical="center"/>
    </xf>
    <xf numFmtId="0" fontId="8" fillId="75" borderId="11" xfId="0" applyFont="1" applyFill="1" applyBorder="1" applyAlignment="1">
      <alignment horizontal="center" vertical="center"/>
    </xf>
    <xf numFmtId="0" fontId="8" fillId="152" borderId="11" xfId="0" applyFont="1" applyFill="1" applyBorder="1" applyAlignment="1">
      <alignment horizontal="center" vertical="center"/>
    </xf>
    <xf numFmtId="0" fontId="6" fillId="155" borderId="11" xfId="0" applyFont="1" applyFill="1" applyBorder="1" applyAlignment="1">
      <alignment horizontal="center" vertical="center"/>
    </xf>
    <xf numFmtId="0" fontId="18" fillId="50" borderId="11" xfId="0" applyFont="1" applyFill="1" applyBorder="1" applyAlignment="1">
      <alignment horizontal="center" vertical="center"/>
    </xf>
    <xf numFmtId="0" fontId="6" fillId="102" borderId="11" xfId="0" applyFont="1" applyFill="1" applyBorder="1" applyAlignment="1">
      <alignment horizontal="center" vertical="center"/>
    </xf>
    <xf numFmtId="0" fontId="6" fillId="20" borderId="11" xfId="0" applyFont="1" applyFill="1" applyBorder="1" applyAlignment="1">
      <alignment horizontal="center" vertical="center"/>
    </xf>
    <xf numFmtId="0" fontId="6" fillId="50" borderId="11" xfId="0" applyFont="1" applyFill="1" applyBorder="1" applyAlignment="1">
      <alignment horizontal="center" vertical="center"/>
    </xf>
    <xf numFmtId="0" fontId="6" fillId="22" borderId="11" xfId="0" applyFont="1" applyFill="1" applyBorder="1" applyAlignment="1">
      <alignment horizontal="center" vertical="center"/>
    </xf>
    <xf numFmtId="0" fontId="6" fillId="48" borderId="11" xfId="0" applyFont="1" applyFill="1" applyBorder="1" applyAlignment="1">
      <alignment horizontal="center" vertical="center"/>
    </xf>
    <xf numFmtId="0" fontId="8" fillId="52" borderId="11" xfId="0" applyFont="1" applyFill="1" applyBorder="1" applyAlignment="1">
      <alignment horizontal="center" vertical="center"/>
    </xf>
    <xf numFmtId="0" fontId="8" fillId="37" borderId="11" xfId="0" applyFont="1" applyFill="1" applyBorder="1" applyAlignment="1">
      <alignment horizontal="center" vertical="center"/>
    </xf>
    <xf numFmtId="0" fontId="8" fillId="56" borderId="11" xfId="0" applyFont="1" applyFill="1" applyBorder="1" applyAlignment="1">
      <alignment horizontal="center" vertical="center"/>
    </xf>
    <xf numFmtId="0" fontId="8" fillId="46" borderId="11" xfId="0" applyFont="1" applyFill="1" applyBorder="1" applyAlignment="1">
      <alignment horizontal="center" vertical="center"/>
    </xf>
    <xf numFmtId="0" fontId="8" fillId="44" borderId="11" xfId="0" applyFont="1" applyFill="1" applyBorder="1" applyAlignment="1">
      <alignment horizontal="center" vertical="center"/>
    </xf>
    <xf numFmtId="0" fontId="8" fillId="45" borderId="11" xfId="0" applyFont="1" applyFill="1" applyBorder="1" applyAlignment="1">
      <alignment horizontal="center" vertical="center"/>
    </xf>
    <xf numFmtId="0" fontId="18" fillId="150" borderId="11" xfId="0" applyFont="1" applyFill="1" applyBorder="1" applyAlignment="1">
      <alignment horizontal="center" vertical="center"/>
    </xf>
    <xf numFmtId="0" fontId="10" fillId="156" borderId="11" xfId="0" applyFont="1" applyFill="1" applyBorder="1" applyAlignment="1">
      <alignment horizontal="center" vertical="center"/>
    </xf>
    <xf numFmtId="0" fontId="18" fillId="136" borderId="11" xfId="0" applyFont="1" applyFill="1" applyBorder="1" applyAlignment="1">
      <alignment horizontal="center" vertical="center"/>
    </xf>
    <xf numFmtId="0" fontId="18" fillId="18" borderId="11" xfId="0" applyFont="1" applyFill="1" applyBorder="1" applyAlignment="1">
      <alignment horizontal="center" vertical="center"/>
    </xf>
    <xf numFmtId="0" fontId="10" fillId="74" borderId="11" xfId="0" applyFont="1" applyFill="1" applyBorder="1" applyAlignment="1">
      <alignment horizontal="center" vertical="center"/>
    </xf>
    <xf numFmtId="0" fontId="18" fillId="42" borderId="11" xfId="0" applyFont="1" applyFill="1" applyBorder="1" applyAlignment="1">
      <alignment horizontal="center" vertical="center"/>
    </xf>
    <xf numFmtId="0" fontId="10" fillId="157" borderId="11" xfId="0" applyFont="1" applyFill="1" applyBorder="1" applyAlignment="1">
      <alignment horizontal="center" vertical="center"/>
    </xf>
    <xf numFmtId="0" fontId="8" fillId="0" borderId="31" xfId="0" applyFont="1" applyBorder="1" applyAlignment="1">
      <alignment horizontal="left" vertical="center"/>
    </xf>
    <xf numFmtId="0" fontId="0" fillId="159" borderId="3" xfId="0" applyFill="1" applyBorder="1"/>
    <xf numFmtId="0" fontId="0" fillId="159" borderId="4" xfId="0" applyFill="1" applyBorder="1"/>
    <xf numFmtId="0" fontId="0" fillId="159" borderId="5" xfId="0" applyFill="1" applyBorder="1"/>
    <xf numFmtId="0" fontId="0" fillId="159" borderId="8" xfId="0" applyFill="1" applyBorder="1"/>
    <xf numFmtId="0" fontId="0" fillId="159" borderId="9" xfId="0" applyFill="1" applyBorder="1"/>
    <xf numFmtId="0" fontId="0" fillId="159" borderId="10" xfId="0" applyFill="1" applyBorder="1"/>
    <xf numFmtId="0" fontId="9" fillId="39" borderId="36" xfId="0" applyFont="1" applyFill="1" applyBorder="1"/>
    <xf numFmtId="0" fontId="9" fillId="26" borderId="36" xfId="0" applyFont="1" applyFill="1" applyBorder="1"/>
    <xf numFmtId="0" fontId="8" fillId="27" borderId="37" xfId="0" applyFont="1" applyFill="1" applyBorder="1" applyAlignment="1">
      <alignment horizontal="center" vertical="center"/>
    </xf>
    <xf numFmtId="0" fontId="9" fillId="28" borderId="38" xfId="0" applyFont="1" applyFill="1" applyBorder="1"/>
    <xf numFmtId="0" fontId="9" fillId="10" borderId="39" xfId="0" applyFont="1" applyFill="1" applyBorder="1"/>
    <xf numFmtId="0" fontId="9" fillId="28" borderId="47" xfId="0" applyFont="1" applyFill="1" applyBorder="1"/>
    <xf numFmtId="0" fontId="8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8" fillId="0" borderId="0" xfId="0" applyFont="1" applyAlignment="1">
      <alignment vertical="center"/>
    </xf>
    <xf numFmtId="0" fontId="0" fillId="72" borderId="38" xfId="0" applyFill="1" applyBorder="1"/>
    <xf numFmtId="0" fontId="0" fillId="154" borderId="47" xfId="0" applyFill="1" applyBorder="1"/>
    <xf numFmtId="0" fontId="9" fillId="10" borderId="57" xfId="0" applyFont="1" applyFill="1" applyBorder="1"/>
    <xf numFmtId="0" fontId="9" fillId="39" borderId="61" xfId="0" applyFont="1" applyFill="1" applyBorder="1"/>
    <xf numFmtId="0" fontId="9" fillId="26" borderId="61" xfId="0" applyFont="1" applyFill="1" applyBorder="1"/>
    <xf numFmtId="0" fontId="8" fillId="27" borderId="63" xfId="0" applyFont="1" applyFill="1" applyBorder="1" applyAlignment="1">
      <alignment horizontal="center" vertical="center"/>
    </xf>
    <xf numFmtId="0" fontId="0" fillId="73" borderId="6" xfId="0" applyFill="1" applyBorder="1"/>
    <xf numFmtId="0" fontId="9" fillId="82" borderId="57" xfId="0" applyFont="1" applyFill="1" applyBorder="1" applyAlignment="1">
      <alignment horizontal="center" vertical="center"/>
    </xf>
    <xf numFmtId="0" fontId="8" fillId="0" borderId="66" xfId="0" applyFont="1" applyBorder="1" applyAlignment="1">
      <alignment horizontal="left" vertical="center"/>
    </xf>
    <xf numFmtId="0" fontId="8" fillId="0" borderId="67" xfId="0" applyFont="1" applyBorder="1" applyAlignment="1">
      <alignment horizontal="left" vertical="center"/>
    </xf>
    <xf numFmtId="0" fontId="9" fillId="76" borderId="61" xfId="0" applyFont="1" applyFill="1" applyBorder="1" applyAlignment="1">
      <alignment horizontal="center" vertical="center"/>
    </xf>
    <xf numFmtId="0" fontId="9" fillId="81" borderId="61" xfId="0" applyFont="1" applyFill="1" applyBorder="1" applyAlignment="1">
      <alignment horizontal="center" vertical="center"/>
    </xf>
    <xf numFmtId="0" fontId="9" fillId="83" borderId="61" xfId="0" applyFont="1" applyFill="1" applyBorder="1" applyAlignment="1">
      <alignment horizontal="center" vertical="center"/>
    </xf>
    <xf numFmtId="0" fontId="9" fillId="79" borderId="61" xfId="0" applyFont="1" applyFill="1" applyBorder="1" applyAlignment="1">
      <alignment horizontal="center" vertical="center"/>
    </xf>
    <xf numFmtId="0" fontId="9" fillId="77" borderId="65" xfId="0" applyFont="1" applyFill="1" applyBorder="1" applyAlignment="1">
      <alignment horizontal="center" vertical="center"/>
    </xf>
    <xf numFmtId="0" fontId="0" fillId="0" borderId="52" xfId="0" applyBorder="1"/>
    <xf numFmtId="0" fontId="9" fillId="88" borderId="61" xfId="0" applyFont="1" applyFill="1" applyBorder="1" applyAlignment="1">
      <alignment horizontal="center" vertical="center"/>
    </xf>
    <xf numFmtId="0" fontId="9" fillId="77" borderId="61" xfId="0" applyFont="1" applyFill="1" applyBorder="1" applyAlignment="1">
      <alignment horizontal="center" vertical="center"/>
    </xf>
    <xf numFmtId="0" fontId="9" fillId="87" borderId="65" xfId="0" applyFont="1" applyFill="1" applyBorder="1" applyAlignment="1">
      <alignment horizontal="center" vertical="center"/>
    </xf>
    <xf numFmtId="0" fontId="8" fillId="104" borderId="61" xfId="0" applyFont="1" applyFill="1" applyBorder="1" applyAlignment="1">
      <alignment horizontal="center" vertical="center"/>
    </xf>
    <xf numFmtId="0" fontId="9" fillId="41" borderId="73" xfId="0" applyFont="1" applyFill="1" applyBorder="1" applyAlignment="1">
      <alignment horizontal="center" vertical="center"/>
    </xf>
    <xf numFmtId="0" fontId="8" fillId="20" borderId="63" xfId="0" applyFont="1" applyFill="1" applyBorder="1" applyAlignment="1">
      <alignment horizontal="center" vertical="center"/>
    </xf>
    <xf numFmtId="0" fontId="8" fillId="93" borderId="18" xfId="0" applyFont="1" applyFill="1" applyBorder="1" applyAlignment="1">
      <alignment horizontal="center" vertical="center"/>
    </xf>
    <xf numFmtId="0" fontId="8" fillId="101" borderId="74" xfId="0" applyFont="1" applyFill="1" applyBorder="1" applyAlignment="1">
      <alignment horizontal="center" vertical="center"/>
    </xf>
    <xf numFmtId="0" fontId="9" fillId="41" borderId="61" xfId="0" applyFont="1" applyFill="1" applyBorder="1" applyAlignment="1">
      <alignment horizontal="center" vertical="center"/>
    </xf>
    <xf numFmtId="0" fontId="9" fillId="41" borderId="65" xfId="0" applyFont="1" applyFill="1" applyBorder="1" applyAlignment="1">
      <alignment horizontal="center" vertical="center"/>
    </xf>
    <xf numFmtId="0" fontId="9" fillId="41" borderId="75" xfId="0" applyFont="1" applyFill="1" applyBorder="1" applyAlignment="1">
      <alignment horizontal="center" vertical="center"/>
    </xf>
    <xf numFmtId="0" fontId="9" fillId="95" borderId="76" xfId="0" applyFont="1" applyFill="1" applyBorder="1" applyAlignment="1">
      <alignment horizontal="center" vertical="center"/>
    </xf>
    <xf numFmtId="0" fontId="8" fillId="20" borderId="61" xfId="0" applyFont="1" applyFill="1" applyBorder="1" applyAlignment="1">
      <alignment horizontal="center" vertical="center"/>
    </xf>
    <xf numFmtId="0" fontId="8" fillId="93" borderId="61" xfId="0" applyFont="1" applyFill="1" applyBorder="1" applyAlignment="1">
      <alignment horizontal="center" vertical="center"/>
    </xf>
    <xf numFmtId="0" fontId="6" fillId="90" borderId="61" xfId="0" applyFont="1" applyFill="1" applyBorder="1" applyAlignment="1">
      <alignment horizontal="center" vertical="center"/>
    </xf>
    <xf numFmtId="0" fontId="6" fillId="85" borderId="61" xfId="0" applyFont="1" applyFill="1" applyBorder="1" applyAlignment="1">
      <alignment horizontal="center" vertical="center"/>
    </xf>
    <xf numFmtId="0" fontId="8" fillId="47" borderId="73" xfId="0" applyFont="1" applyFill="1" applyBorder="1" applyAlignment="1">
      <alignment horizontal="center" vertical="center"/>
    </xf>
    <xf numFmtId="0" fontId="8" fillId="92" borderId="61" xfId="0" applyFont="1" applyFill="1" applyBorder="1" applyAlignment="1">
      <alignment horizontal="center" vertical="center"/>
    </xf>
    <xf numFmtId="0" fontId="6" fillId="96" borderId="61" xfId="0" applyFont="1" applyFill="1" applyBorder="1" applyAlignment="1">
      <alignment horizontal="center" vertical="center"/>
    </xf>
    <xf numFmtId="0" fontId="8" fillId="92" borderId="76" xfId="0" applyFont="1" applyFill="1" applyBorder="1" applyAlignment="1">
      <alignment horizontal="center" vertical="center"/>
    </xf>
    <xf numFmtId="0" fontId="8" fillId="42" borderId="61" xfId="0" applyFont="1" applyFill="1" applyBorder="1" applyAlignment="1">
      <alignment horizontal="center" vertical="center"/>
    </xf>
    <xf numFmtId="0" fontId="8" fillId="10" borderId="61" xfId="0" applyFont="1" applyFill="1" applyBorder="1" applyAlignment="1">
      <alignment horizontal="center" vertical="center"/>
    </xf>
    <xf numFmtId="0" fontId="9" fillId="13" borderId="73" xfId="0" applyFont="1" applyFill="1" applyBorder="1" applyAlignment="1">
      <alignment horizontal="center" vertical="center"/>
    </xf>
    <xf numFmtId="0" fontId="9" fillId="16" borderId="73" xfId="0" applyFont="1" applyFill="1" applyBorder="1" applyAlignment="1">
      <alignment horizontal="center" vertical="center"/>
    </xf>
    <xf numFmtId="0" fontId="8" fillId="32" borderId="61" xfId="0" applyFont="1" applyFill="1" applyBorder="1" applyAlignment="1">
      <alignment horizontal="center" vertical="center"/>
    </xf>
    <xf numFmtId="0" fontId="8" fillId="30" borderId="61" xfId="0" applyFont="1" applyFill="1" applyBorder="1" applyAlignment="1">
      <alignment horizontal="center" vertical="center"/>
    </xf>
    <xf numFmtId="0" fontId="8" fillId="12" borderId="61" xfId="0" applyFont="1" applyFill="1" applyBorder="1" applyAlignment="1">
      <alignment horizontal="center" vertical="center"/>
    </xf>
    <xf numFmtId="0" fontId="9" fillId="13" borderId="61" xfId="0" applyFont="1" applyFill="1" applyBorder="1" applyAlignment="1">
      <alignment horizontal="center" vertical="center"/>
    </xf>
    <xf numFmtId="0" fontId="9" fillId="16" borderId="61" xfId="0" applyFont="1" applyFill="1" applyBorder="1" applyAlignment="1">
      <alignment horizontal="center" vertical="center"/>
    </xf>
    <xf numFmtId="0" fontId="9" fillId="16" borderId="65" xfId="0" applyFont="1" applyFill="1" applyBorder="1" applyAlignment="1">
      <alignment horizontal="center" vertical="center"/>
    </xf>
    <xf numFmtId="0" fontId="9" fillId="16" borderId="75" xfId="0" applyFont="1" applyFill="1" applyBorder="1" applyAlignment="1">
      <alignment horizontal="center" vertical="center"/>
    </xf>
    <xf numFmtId="0" fontId="9" fillId="16" borderId="76" xfId="0" applyFont="1" applyFill="1" applyBorder="1" applyAlignment="1">
      <alignment horizontal="center" vertical="center"/>
    </xf>
    <xf numFmtId="0" fontId="9" fillId="19" borderId="73" xfId="0" applyFont="1" applyFill="1" applyBorder="1" applyAlignment="1">
      <alignment horizontal="center" vertical="center"/>
    </xf>
    <xf numFmtId="0" fontId="8" fillId="51" borderId="61" xfId="0" applyFont="1" applyFill="1" applyBorder="1" applyAlignment="1">
      <alignment horizontal="center" vertical="center"/>
    </xf>
    <xf numFmtId="0" fontId="8" fillId="37" borderId="61" xfId="0" applyFont="1" applyFill="1" applyBorder="1" applyAlignment="1">
      <alignment horizontal="center" vertical="center"/>
    </xf>
    <xf numFmtId="0" fontId="9" fillId="41" borderId="76" xfId="0" applyFont="1" applyFill="1" applyBorder="1" applyAlignment="1">
      <alignment horizontal="center" vertical="center"/>
    </xf>
    <xf numFmtId="0" fontId="8" fillId="49" borderId="61" xfId="0" applyFont="1" applyFill="1" applyBorder="1" applyAlignment="1">
      <alignment horizontal="center" vertical="center"/>
    </xf>
    <xf numFmtId="0" fontId="8" fillId="52" borderId="73" xfId="0" applyFont="1" applyFill="1" applyBorder="1" applyAlignment="1">
      <alignment horizontal="center" vertical="center"/>
    </xf>
    <xf numFmtId="0" fontId="9" fillId="15" borderId="73" xfId="0" applyFont="1" applyFill="1" applyBorder="1" applyAlignment="1">
      <alignment horizontal="center" vertical="center"/>
    </xf>
    <xf numFmtId="0" fontId="8" fillId="38" borderId="61" xfId="0" applyFont="1" applyFill="1" applyBorder="1" applyAlignment="1">
      <alignment horizontal="center" vertical="center"/>
    </xf>
    <xf numFmtId="0" fontId="6" fillId="50" borderId="61" xfId="0" applyFont="1" applyFill="1" applyBorder="1" applyAlignment="1">
      <alignment horizontal="center" vertical="center"/>
    </xf>
    <xf numFmtId="0" fontId="8" fillId="52" borderId="61" xfId="0" applyFont="1" applyFill="1" applyBorder="1" applyAlignment="1">
      <alignment horizontal="center" vertical="center"/>
    </xf>
    <xf numFmtId="0" fontId="9" fillId="15" borderId="61" xfId="0" applyFont="1" applyFill="1" applyBorder="1" applyAlignment="1">
      <alignment horizontal="center" vertical="center"/>
    </xf>
    <xf numFmtId="0" fontId="9" fillId="15" borderId="65" xfId="0" applyFont="1" applyFill="1" applyBorder="1" applyAlignment="1">
      <alignment horizontal="center" vertical="center"/>
    </xf>
    <xf numFmtId="0" fontId="9" fillId="15" borderId="75" xfId="0" applyFont="1" applyFill="1" applyBorder="1" applyAlignment="1">
      <alignment horizontal="center" vertical="center"/>
    </xf>
    <xf numFmtId="0" fontId="6" fillId="50" borderId="76" xfId="0" applyFont="1" applyFill="1" applyBorder="1" applyAlignment="1">
      <alignment horizontal="center" vertical="center"/>
    </xf>
    <xf numFmtId="0" fontId="8" fillId="51" borderId="73" xfId="0" applyFont="1" applyFill="1" applyBorder="1" applyAlignment="1">
      <alignment horizontal="center" vertical="center"/>
    </xf>
    <xf numFmtId="0" fontId="8" fillId="53" borderId="61" xfId="0" applyFont="1" applyFill="1" applyBorder="1" applyAlignment="1">
      <alignment horizontal="center" vertical="center"/>
    </xf>
    <xf numFmtId="0" fontId="8" fillId="54" borderId="61" xfId="0" applyFont="1" applyFill="1" applyBorder="1" applyAlignment="1">
      <alignment horizontal="center" vertical="center"/>
    </xf>
    <xf numFmtId="0" fontId="8" fillId="55" borderId="61" xfId="0" applyFont="1" applyFill="1" applyBorder="1" applyAlignment="1">
      <alignment horizontal="center" vertical="center"/>
    </xf>
    <xf numFmtId="0" fontId="8" fillId="24" borderId="76" xfId="0" applyFont="1" applyFill="1" applyBorder="1" applyAlignment="1">
      <alignment horizontal="center" vertical="center"/>
    </xf>
    <xf numFmtId="0" fontId="6" fillId="57" borderId="61" xfId="0" applyFont="1" applyFill="1" applyBorder="1" applyAlignment="1">
      <alignment horizontal="center" vertical="center"/>
    </xf>
    <xf numFmtId="0" fontId="8" fillId="24" borderId="61" xfId="0" applyFont="1" applyFill="1" applyBorder="1" applyAlignment="1">
      <alignment horizontal="center" vertical="center"/>
    </xf>
    <xf numFmtId="0" fontId="8" fillId="24" borderId="65" xfId="0" applyFont="1" applyFill="1" applyBorder="1" applyAlignment="1">
      <alignment horizontal="center" vertical="center"/>
    </xf>
    <xf numFmtId="0" fontId="6" fillId="60" borderId="76" xfId="0" applyFont="1" applyFill="1" applyBorder="1" applyAlignment="1">
      <alignment horizontal="center" vertical="center"/>
    </xf>
    <xf numFmtId="0" fontId="6" fillId="36" borderId="73" xfId="0" applyFont="1" applyFill="1" applyBorder="1" applyAlignment="1">
      <alignment horizontal="center" vertical="center"/>
    </xf>
    <xf numFmtId="0" fontId="6" fillId="66" borderId="73" xfId="0" applyFont="1" applyFill="1" applyBorder="1" applyAlignment="1">
      <alignment horizontal="center" vertical="center"/>
    </xf>
    <xf numFmtId="0" fontId="8" fillId="65" borderId="61" xfId="0" applyFont="1" applyFill="1" applyBorder="1" applyAlignment="1">
      <alignment horizontal="center" vertical="center"/>
    </xf>
    <xf numFmtId="0" fontId="6" fillId="63" borderId="61" xfId="0" applyFont="1" applyFill="1" applyBorder="1" applyAlignment="1">
      <alignment horizontal="center" vertical="center"/>
    </xf>
    <xf numFmtId="0" fontId="8" fillId="55" borderId="65" xfId="0" applyFont="1" applyFill="1" applyBorder="1" applyAlignment="1">
      <alignment horizontal="center" vertical="center"/>
    </xf>
    <xf numFmtId="0" fontId="6" fillId="59" borderId="76" xfId="0" applyFont="1" applyFill="1" applyBorder="1" applyAlignment="1">
      <alignment horizontal="center" vertical="center"/>
    </xf>
    <xf numFmtId="0" fontId="9" fillId="29" borderId="73" xfId="0" applyFont="1" applyFill="1" applyBorder="1" applyAlignment="1">
      <alignment horizontal="center" vertical="center"/>
    </xf>
    <xf numFmtId="0" fontId="8" fillId="26" borderId="61" xfId="0" applyFont="1" applyFill="1" applyBorder="1" applyAlignment="1">
      <alignment horizontal="center" vertical="center"/>
    </xf>
    <xf numFmtId="0" fontId="8" fillId="27" borderId="61" xfId="0" applyFont="1" applyFill="1" applyBorder="1" applyAlignment="1">
      <alignment horizontal="center" vertical="center"/>
    </xf>
    <xf numFmtId="0" fontId="9" fillId="29" borderId="61" xfId="0" applyFont="1" applyFill="1" applyBorder="1" applyAlignment="1">
      <alignment horizontal="center" vertical="center"/>
    </xf>
    <xf numFmtId="0" fontId="9" fillId="29" borderId="65" xfId="0" applyFont="1" applyFill="1" applyBorder="1" applyAlignment="1">
      <alignment horizontal="center" vertical="center"/>
    </xf>
    <xf numFmtId="0" fontId="9" fillId="29" borderId="75" xfId="0" applyFont="1" applyFill="1" applyBorder="1" applyAlignment="1">
      <alignment horizontal="center" vertical="center"/>
    </xf>
    <xf numFmtId="0" fontId="9" fillId="29" borderId="76" xfId="0" applyFont="1" applyFill="1" applyBorder="1" applyAlignment="1">
      <alignment horizontal="center" vertical="center"/>
    </xf>
    <xf numFmtId="0" fontId="6" fillId="27" borderId="73" xfId="0" applyFont="1" applyFill="1" applyBorder="1" applyAlignment="1">
      <alignment horizontal="center" vertical="center"/>
    </xf>
    <xf numFmtId="0" fontId="6" fillId="27" borderId="61" xfId="0" applyFont="1" applyFill="1" applyBorder="1" applyAlignment="1">
      <alignment horizontal="center" vertical="center"/>
    </xf>
    <xf numFmtId="0" fontId="8" fillId="28" borderId="61" xfId="0" applyFont="1" applyFill="1" applyBorder="1" applyAlignment="1">
      <alignment horizontal="center" vertical="center"/>
    </xf>
    <xf numFmtId="0" fontId="8" fillId="26" borderId="73" xfId="0" applyFont="1" applyFill="1" applyBorder="1" applyAlignment="1">
      <alignment horizontal="center" vertical="center"/>
    </xf>
    <xf numFmtId="0" fontId="15" fillId="69" borderId="61" xfId="0" applyFont="1" applyFill="1" applyBorder="1" applyAlignment="1">
      <alignment horizontal="center" vertical="center"/>
    </xf>
    <xf numFmtId="0" fontId="8" fillId="70" borderId="61" xfId="0" applyFont="1" applyFill="1" applyBorder="1" applyAlignment="1">
      <alignment horizontal="center" vertical="center"/>
    </xf>
    <xf numFmtId="0" fontId="6" fillId="27" borderId="65" xfId="0" applyFont="1" applyFill="1" applyBorder="1" applyAlignment="1">
      <alignment horizontal="center" vertical="center"/>
    </xf>
    <xf numFmtId="0" fontId="8" fillId="39" borderId="76" xfId="0" applyFont="1" applyFill="1" applyBorder="1" applyAlignment="1">
      <alignment horizontal="center" vertical="center"/>
    </xf>
    <xf numFmtId="0" fontId="6" fillId="149" borderId="25" xfId="0" applyFont="1" applyFill="1" applyBorder="1" applyAlignment="1">
      <alignment horizontal="center" vertical="center"/>
    </xf>
    <xf numFmtId="0" fontId="8" fillId="82" borderId="61" xfId="0" applyFont="1" applyFill="1" applyBorder="1" applyAlignment="1">
      <alignment horizontal="center" vertical="center"/>
    </xf>
    <xf numFmtId="0" fontId="8" fillId="81" borderId="61" xfId="0" applyFont="1" applyFill="1" applyBorder="1" applyAlignment="1">
      <alignment horizontal="center" vertical="center"/>
    </xf>
    <xf numFmtId="0" fontId="9" fillId="29" borderId="63" xfId="0" applyFont="1" applyFill="1" applyBorder="1" applyAlignment="1">
      <alignment horizontal="center" vertical="center"/>
    </xf>
    <xf numFmtId="0" fontId="9" fillId="29" borderId="78" xfId="0" applyFont="1" applyFill="1" applyBorder="1" applyAlignment="1">
      <alignment horizontal="center" vertical="center"/>
    </xf>
    <xf numFmtId="0" fontId="9" fillId="29" borderId="20" xfId="0" applyFont="1" applyFill="1" applyBorder="1" applyAlignment="1">
      <alignment horizontal="center" vertical="center"/>
    </xf>
    <xf numFmtId="0" fontId="9" fillId="29" borderId="21" xfId="0" applyFont="1" applyFill="1" applyBorder="1" applyAlignment="1">
      <alignment horizontal="center" vertical="center"/>
    </xf>
    <xf numFmtId="0" fontId="9" fillId="29" borderId="22" xfId="0" applyFont="1" applyFill="1" applyBorder="1" applyAlignment="1">
      <alignment horizontal="center" vertical="center"/>
    </xf>
    <xf numFmtId="0" fontId="8" fillId="83" borderId="61" xfId="0" applyFont="1" applyFill="1" applyBorder="1" applyAlignment="1">
      <alignment horizontal="center" vertical="center"/>
    </xf>
    <xf numFmtId="0" fontId="8" fillId="84" borderId="61" xfId="0" applyFont="1" applyFill="1" applyBorder="1" applyAlignment="1">
      <alignment horizontal="center" vertical="center"/>
    </xf>
    <xf numFmtId="0" fontId="8" fillId="77" borderId="61" xfId="0" applyFont="1" applyFill="1" applyBorder="1" applyAlignment="1">
      <alignment horizontal="center" vertical="center"/>
    </xf>
    <xf numFmtId="0" fontId="8" fillId="77" borderId="73" xfId="0" applyFont="1" applyFill="1" applyBorder="1" applyAlignment="1">
      <alignment horizontal="center" vertical="center"/>
    </xf>
    <xf numFmtId="0" fontId="8" fillId="77" borderId="76" xfId="0" applyFont="1" applyFill="1" applyBorder="1" applyAlignment="1">
      <alignment horizontal="center" vertical="center"/>
    </xf>
    <xf numFmtId="0" fontId="8" fillId="76" borderId="61" xfId="0" applyFont="1" applyFill="1" applyBorder="1" applyAlignment="1">
      <alignment horizontal="center" vertical="center"/>
    </xf>
    <xf numFmtId="0" fontId="10" fillId="151" borderId="61" xfId="0" applyFont="1" applyFill="1" applyBorder="1" applyAlignment="1">
      <alignment horizontal="center" vertical="center"/>
    </xf>
    <xf numFmtId="0" fontId="14" fillId="29" borderId="73" xfId="0" applyFont="1" applyFill="1" applyBorder="1" applyAlignment="1">
      <alignment horizontal="center" vertical="center"/>
    </xf>
    <xf numFmtId="0" fontId="18" fillId="150" borderId="61" xfId="0" applyFont="1" applyFill="1" applyBorder="1" applyAlignment="1">
      <alignment horizontal="center" vertical="center"/>
    </xf>
    <xf numFmtId="0" fontId="10" fillId="77" borderId="61" xfId="0" applyFont="1" applyFill="1" applyBorder="1" applyAlignment="1">
      <alignment horizontal="center" vertical="center"/>
    </xf>
    <xf numFmtId="0" fontId="14" fillId="29" borderId="61" xfId="0" applyFont="1" applyFill="1" applyBorder="1" applyAlignment="1">
      <alignment horizontal="center" vertical="center"/>
    </xf>
    <xf numFmtId="0" fontId="14" fillId="29" borderId="65" xfId="0" applyFont="1" applyFill="1" applyBorder="1" applyAlignment="1">
      <alignment horizontal="center" vertical="center"/>
    </xf>
    <xf numFmtId="0" fontId="14" fillId="29" borderId="75" xfId="0" applyFont="1" applyFill="1" applyBorder="1" applyAlignment="1">
      <alignment horizontal="center" vertical="center"/>
    </xf>
    <xf numFmtId="0" fontId="10" fillId="77" borderId="76" xfId="0" applyFont="1" applyFill="1" applyBorder="1" applyAlignment="1">
      <alignment horizontal="center" vertical="center"/>
    </xf>
    <xf numFmtId="0" fontId="10" fillId="77" borderId="73" xfId="0" applyFont="1" applyFill="1" applyBorder="1" applyAlignment="1">
      <alignment horizontal="center" vertical="center"/>
    </xf>
    <xf numFmtId="0" fontId="10" fillId="76" borderId="61" xfId="0" applyFont="1" applyFill="1" applyBorder="1" applyAlignment="1">
      <alignment horizontal="center" vertical="center"/>
    </xf>
    <xf numFmtId="0" fontId="10" fillId="157" borderId="61" xfId="0" applyFont="1" applyFill="1" applyBorder="1" applyAlignment="1">
      <alignment horizontal="center" vertical="center"/>
    </xf>
    <xf numFmtId="0" fontId="18" fillId="18" borderId="61" xfId="0" applyFont="1" applyFill="1" applyBorder="1" applyAlignment="1">
      <alignment horizontal="center" vertical="center"/>
    </xf>
    <xf numFmtId="0" fontId="18" fillId="42" borderId="61" xfId="0" applyFont="1" applyFill="1" applyBorder="1" applyAlignment="1">
      <alignment horizontal="center" vertical="center"/>
    </xf>
    <xf numFmtId="0" fontId="10" fillId="74" borderId="61" xfId="0" applyFont="1" applyFill="1" applyBorder="1" applyAlignment="1">
      <alignment horizontal="center" vertical="center"/>
    </xf>
    <xf numFmtId="0" fontId="10" fillId="74" borderId="65" xfId="0" applyFont="1" applyFill="1" applyBorder="1" applyAlignment="1">
      <alignment horizontal="center" vertical="center"/>
    </xf>
    <xf numFmtId="0" fontId="10" fillId="152" borderId="76" xfId="0" applyFont="1" applyFill="1" applyBorder="1" applyAlignment="1">
      <alignment horizontal="center" vertical="center"/>
    </xf>
    <xf numFmtId="0" fontId="18" fillId="136" borderId="73" xfId="0" applyFont="1" applyFill="1" applyBorder="1" applyAlignment="1">
      <alignment horizontal="center" vertical="center"/>
    </xf>
    <xf numFmtId="0" fontId="10" fillId="158" borderId="61" xfId="0" applyFont="1" applyFill="1" applyBorder="1" applyAlignment="1">
      <alignment horizontal="center" vertical="center"/>
    </xf>
    <xf numFmtId="0" fontId="8" fillId="151" borderId="61" xfId="0" applyFont="1" applyFill="1" applyBorder="1" applyAlignment="1">
      <alignment horizontal="center" vertical="center"/>
    </xf>
    <xf numFmtId="0" fontId="8" fillId="75" borderId="61" xfId="0" applyFont="1" applyFill="1" applyBorder="1" applyAlignment="1">
      <alignment horizontal="center" vertical="center"/>
    </xf>
    <xf numFmtId="0" fontId="6" fillId="153" borderId="61" xfId="0" applyFont="1" applyFill="1" applyBorder="1" applyAlignment="1">
      <alignment horizontal="center" vertical="center"/>
    </xf>
    <xf numFmtId="0" fontId="6" fillId="153" borderId="65" xfId="0" applyFont="1" applyFill="1" applyBorder="1" applyAlignment="1">
      <alignment horizontal="center" vertical="center"/>
    </xf>
    <xf numFmtId="0" fontId="8" fillId="152" borderId="76" xfId="0" applyFont="1" applyFill="1" applyBorder="1" applyAlignment="1">
      <alignment horizontal="center" vertical="center"/>
    </xf>
    <xf numFmtId="0" fontId="8" fillId="77" borderId="65" xfId="0" applyFont="1" applyFill="1" applyBorder="1" applyAlignment="1">
      <alignment horizontal="center" vertical="center"/>
    </xf>
    <xf numFmtId="0" fontId="8" fillId="143" borderId="25" xfId="0" applyFont="1" applyFill="1" applyBorder="1" applyAlignment="1">
      <alignment horizontal="center" vertical="center"/>
    </xf>
    <xf numFmtId="0" fontId="6" fillId="42" borderId="77" xfId="0" applyFont="1" applyFill="1" applyBorder="1" applyAlignment="1">
      <alignment horizontal="center" vertical="center"/>
    </xf>
    <xf numFmtId="0" fontId="8" fillId="126" borderId="74" xfId="0" applyFont="1" applyFill="1" applyBorder="1" applyAlignment="1">
      <alignment horizontal="center" vertical="center"/>
    </xf>
    <xf numFmtId="0" fontId="8" fillId="110" borderId="79" xfId="0" applyFont="1" applyFill="1" applyBorder="1" applyAlignment="1">
      <alignment horizontal="center" vertical="center"/>
    </xf>
    <xf numFmtId="0" fontId="8" fillId="108" borderId="35" xfId="0" applyFont="1" applyFill="1" applyBorder="1" applyAlignment="1">
      <alignment horizontal="center" vertical="center"/>
    </xf>
    <xf numFmtId="0" fontId="8" fillId="126" borderId="35" xfId="0" applyFont="1" applyFill="1" applyBorder="1" applyAlignment="1">
      <alignment horizontal="center" vertical="center"/>
    </xf>
    <xf numFmtId="0" fontId="8" fillId="127" borderId="35" xfId="0" applyFont="1" applyFill="1" applyBorder="1" applyAlignment="1">
      <alignment horizontal="center" vertical="center"/>
    </xf>
    <xf numFmtId="0" fontId="8" fillId="128" borderId="35" xfId="0" applyFont="1" applyFill="1" applyBorder="1" applyAlignment="1">
      <alignment horizontal="center" vertical="center"/>
    </xf>
    <xf numFmtId="0" fontId="8" fillId="127" borderId="12" xfId="0" applyFont="1" applyFill="1" applyBorder="1" applyAlignment="1">
      <alignment horizontal="center" vertical="center"/>
    </xf>
    <xf numFmtId="0" fontId="8" fillId="126" borderId="61" xfId="0" applyFont="1" applyFill="1" applyBorder="1" applyAlignment="1">
      <alignment horizontal="center" vertical="center"/>
    </xf>
    <xf numFmtId="0" fontId="8" fillId="127" borderId="61" xfId="0" applyFont="1" applyFill="1" applyBorder="1" applyAlignment="1">
      <alignment horizontal="center" vertical="center"/>
    </xf>
    <xf numFmtId="0" fontId="8" fillId="136" borderId="24" xfId="0" applyFont="1" applyFill="1" applyBorder="1" applyAlignment="1">
      <alignment horizontal="center" vertical="center"/>
    </xf>
    <xf numFmtId="0" fontId="8" fillId="107" borderId="25" xfId="0" applyFont="1" applyFill="1" applyBorder="1" applyAlignment="1">
      <alignment horizontal="center" vertical="center"/>
    </xf>
    <xf numFmtId="0" fontId="8" fillId="127" borderId="26" xfId="0" applyFont="1" applyFill="1" applyBorder="1" applyAlignment="1">
      <alignment horizontal="center" vertical="center"/>
    </xf>
    <xf numFmtId="0" fontId="9" fillId="16" borderId="72" xfId="0" applyFont="1" applyFill="1" applyBorder="1" applyAlignment="1">
      <alignment horizontal="center" vertical="center"/>
    </xf>
    <xf numFmtId="0" fontId="8" fillId="116" borderId="25" xfId="0" applyFont="1" applyFill="1" applyBorder="1" applyAlignment="1">
      <alignment horizontal="center" vertical="center"/>
    </xf>
    <xf numFmtId="0" fontId="8" fillId="118" borderId="12" xfId="0" applyFont="1" applyFill="1" applyBorder="1" applyAlignment="1">
      <alignment horizontal="center" vertical="center"/>
    </xf>
    <xf numFmtId="0" fontId="8" fillId="160" borderId="25" xfId="0" applyFont="1" applyFill="1" applyBorder="1" applyAlignment="1">
      <alignment horizontal="center" vertical="center"/>
    </xf>
    <xf numFmtId="0" fontId="8" fillId="161" borderId="36" xfId="0" applyFont="1" applyFill="1" applyBorder="1" applyAlignment="1">
      <alignment horizontal="center" vertical="center"/>
    </xf>
    <xf numFmtId="0" fontId="8" fillId="161" borderId="12" xfId="0" applyFont="1" applyFill="1" applyBorder="1" applyAlignment="1">
      <alignment horizontal="center" vertical="center"/>
    </xf>
    <xf numFmtId="0" fontId="8" fillId="74" borderId="61" xfId="0" applyFont="1" applyFill="1" applyBorder="1" applyAlignment="1">
      <alignment horizontal="center" vertical="center"/>
    </xf>
    <xf numFmtId="0" fontId="8" fillId="162" borderId="11" xfId="0" applyFont="1" applyFill="1" applyBorder="1" applyAlignment="1">
      <alignment horizontal="center" vertical="center"/>
    </xf>
    <xf numFmtId="0" fontId="6" fillId="42" borderId="73" xfId="0" applyFont="1" applyFill="1" applyBorder="1" applyAlignment="1">
      <alignment horizontal="center" vertical="center"/>
    </xf>
    <xf numFmtId="0" fontId="8" fillId="93" borderId="25" xfId="0" applyFont="1" applyFill="1" applyBorder="1" applyAlignment="1">
      <alignment horizontal="center" vertical="center"/>
    </xf>
    <xf numFmtId="0" fontId="6" fillId="94" borderId="79" xfId="0" applyFont="1" applyFill="1" applyBorder="1" applyAlignment="1">
      <alignment horizontal="center" vertical="center"/>
    </xf>
    <xf numFmtId="0" fontId="6" fillId="93" borderId="12" xfId="0" applyFont="1" applyFill="1" applyBorder="1" applyAlignment="1">
      <alignment horizontal="center" vertical="center"/>
    </xf>
    <xf numFmtId="0" fontId="6" fillId="20" borderId="61" xfId="0" applyFont="1" applyFill="1" applyBorder="1" applyAlignment="1">
      <alignment horizontal="center" vertical="center"/>
    </xf>
    <xf numFmtId="0" fontId="6" fillId="47" borderId="11" xfId="0" applyFont="1" applyFill="1" applyBorder="1" applyAlignment="1">
      <alignment horizontal="center" vertical="center"/>
    </xf>
    <xf numFmtId="0" fontId="8" fillId="114" borderId="25" xfId="0" applyFont="1" applyFill="1" applyBorder="1" applyAlignment="1">
      <alignment horizontal="center" vertical="center"/>
    </xf>
    <xf numFmtId="0" fontId="6" fillId="163" borderId="61" xfId="0" applyFont="1" applyFill="1" applyBorder="1" applyAlignment="1">
      <alignment horizontal="center" vertical="center"/>
    </xf>
    <xf numFmtId="0" fontId="8" fillId="149" borderId="25" xfId="0" applyFont="1" applyFill="1" applyBorder="1" applyAlignment="1">
      <alignment horizontal="center" vertical="center"/>
    </xf>
    <xf numFmtId="0" fontId="6" fillId="149" borderId="80" xfId="0" applyFont="1" applyFill="1" applyBorder="1" applyAlignment="1">
      <alignment horizontal="center" vertical="center"/>
    </xf>
    <xf numFmtId="0" fontId="6" fillId="124" borderId="25" xfId="0" applyFont="1" applyFill="1" applyBorder="1" applyAlignment="1">
      <alignment horizontal="center" vertical="center"/>
    </xf>
    <xf numFmtId="0" fontId="6" fillId="124" borderId="80" xfId="0" applyFont="1" applyFill="1" applyBorder="1" applyAlignment="1">
      <alignment horizontal="center" vertical="center"/>
    </xf>
    <xf numFmtId="0" fontId="8" fillId="164" borderId="25" xfId="0" applyFont="1" applyFill="1" applyBorder="1" applyAlignment="1">
      <alignment horizontal="center" vertical="center"/>
    </xf>
    <xf numFmtId="0" fontId="8" fillId="165" borderId="12" xfId="0" applyFont="1" applyFill="1" applyBorder="1" applyAlignment="1">
      <alignment horizontal="center" vertical="center"/>
    </xf>
    <xf numFmtId="0" fontId="8" fillId="74" borderId="65" xfId="0" applyFont="1" applyFill="1" applyBorder="1" applyAlignment="1">
      <alignment horizontal="center" vertical="center"/>
    </xf>
    <xf numFmtId="0" fontId="8" fillId="110" borderId="80" xfId="0" applyFont="1" applyFill="1" applyBorder="1" applyAlignment="1">
      <alignment horizontal="center" vertical="center"/>
    </xf>
    <xf numFmtId="0" fontId="8" fillId="128" borderId="76" xfId="0" applyFont="1" applyFill="1" applyBorder="1" applyAlignment="1">
      <alignment horizontal="center" vertical="center"/>
    </xf>
    <xf numFmtId="0" fontId="8" fillId="110" borderId="25" xfId="0" applyFont="1" applyFill="1" applyBorder="1" applyAlignment="1">
      <alignment horizontal="center" vertical="center"/>
    </xf>
    <xf numFmtId="0" fontId="6" fillId="144" borderId="61" xfId="0" applyFont="1" applyFill="1" applyBorder="1" applyAlignment="1">
      <alignment horizontal="center" vertical="center"/>
    </xf>
    <xf numFmtId="0" fontId="8" fillId="162" borderId="61" xfId="0" applyFont="1" applyFill="1" applyBorder="1" applyAlignment="1">
      <alignment horizontal="center" vertical="center"/>
    </xf>
    <xf numFmtId="0" fontId="8" fillId="74" borderId="77" xfId="0" applyFont="1" applyFill="1" applyBorder="1" applyAlignment="1">
      <alignment horizontal="center" vertical="center"/>
    </xf>
    <xf numFmtId="0" fontId="6" fillId="113" borderId="61" xfId="0" applyFont="1" applyFill="1" applyBorder="1" applyAlignment="1">
      <alignment horizontal="center" vertical="center"/>
    </xf>
    <xf numFmtId="0" fontId="6" fillId="144" borderId="65" xfId="0" applyFont="1" applyFill="1" applyBorder="1" applyAlignment="1">
      <alignment horizontal="center" vertical="center"/>
    </xf>
    <xf numFmtId="0" fontId="8" fillId="108" borderId="61" xfId="0" applyFont="1" applyFill="1" applyBorder="1" applyAlignment="1">
      <alignment horizontal="center" vertical="center"/>
    </xf>
    <xf numFmtId="0" fontId="6" fillId="47" borderId="65" xfId="0" applyFont="1" applyFill="1" applyBorder="1" applyAlignment="1">
      <alignment horizontal="center" vertical="center"/>
    </xf>
    <xf numFmtId="0" fontId="8" fillId="162" borderId="77" xfId="0" applyFont="1" applyFill="1" applyBorder="1" applyAlignment="1">
      <alignment horizontal="center" vertical="center"/>
    </xf>
    <xf numFmtId="0" fontId="6" fillId="42" borderId="75" xfId="0" applyFont="1" applyFill="1" applyBorder="1" applyAlignment="1">
      <alignment horizontal="center" vertical="center"/>
    </xf>
    <xf numFmtId="0" fontId="8" fillId="108" borderId="65" xfId="0" applyFont="1" applyFill="1" applyBorder="1" applyAlignment="1">
      <alignment horizontal="center" vertical="center"/>
    </xf>
    <xf numFmtId="0" fontId="6" fillId="113" borderId="77" xfId="0" applyFont="1" applyFill="1" applyBorder="1" applyAlignment="1">
      <alignment horizontal="center" vertical="center"/>
    </xf>
    <xf numFmtId="0" fontId="8" fillId="24" borderId="73" xfId="0" applyFont="1" applyFill="1" applyBorder="1" applyAlignment="1">
      <alignment horizontal="center" vertical="center"/>
    </xf>
    <xf numFmtId="0" fontId="8" fillId="74" borderId="75" xfId="0" applyFont="1" applyFill="1" applyBorder="1" applyAlignment="1">
      <alignment horizontal="center" vertical="center"/>
    </xf>
    <xf numFmtId="0" fontId="8" fillId="108" borderId="77" xfId="0" applyFont="1" applyFill="1" applyBorder="1" applyAlignment="1">
      <alignment horizontal="center" vertical="center"/>
    </xf>
    <xf numFmtId="0" fontId="6" fillId="113" borderId="75" xfId="0" applyFont="1" applyFill="1" applyBorder="1" applyAlignment="1">
      <alignment horizontal="center" vertical="center"/>
    </xf>
    <xf numFmtId="0" fontId="6" fillId="113" borderId="73" xfId="0" applyFont="1" applyFill="1" applyBorder="1" applyAlignment="1">
      <alignment horizontal="center" vertical="center"/>
    </xf>
    <xf numFmtId="0" fontId="19" fillId="0" borderId="0" xfId="0" applyFont="1"/>
    <xf numFmtId="0" fontId="9" fillId="112" borderId="24" xfId="0" applyFont="1" applyFill="1" applyBorder="1" applyAlignment="1">
      <alignment horizontal="center" vertical="center"/>
    </xf>
    <xf numFmtId="0" fontId="9" fillId="107" borderId="25" xfId="0" applyFont="1" applyFill="1" applyBorder="1" applyAlignment="1">
      <alignment horizontal="center" vertical="center"/>
    </xf>
    <xf numFmtId="0" fontId="8" fillId="100" borderId="25" xfId="0" applyFont="1" applyFill="1" applyBorder="1" applyAlignment="1">
      <alignment horizontal="center" vertical="center"/>
    </xf>
    <xf numFmtId="0" fontId="9" fillId="94" borderId="25" xfId="0" applyFont="1" applyFill="1" applyBorder="1" applyAlignment="1">
      <alignment horizontal="center" vertical="center"/>
    </xf>
    <xf numFmtId="0" fontId="9" fillId="110" borderId="25" xfId="0" applyFont="1" applyFill="1" applyBorder="1" applyAlignment="1">
      <alignment horizontal="center" vertical="center"/>
    </xf>
    <xf numFmtId="0" fontId="8" fillId="59" borderId="25" xfId="0" applyFont="1" applyFill="1" applyBorder="1" applyAlignment="1">
      <alignment horizontal="center" vertical="center"/>
    </xf>
    <xf numFmtId="0" fontId="9" fillId="97" borderId="25" xfId="0" applyFont="1" applyFill="1" applyBorder="1" applyAlignment="1">
      <alignment horizontal="center" vertical="center"/>
    </xf>
    <xf numFmtId="0" fontId="8" fillId="98" borderId="25" xfId="0" applyFont="1" applyFill="1" applyBorder="1" applyAlignment="1">
      <alignment horizontal="center" vertical="center"/>
    </xf>
    <xf numFmtId="0" fontId="8" fillId="104" borderId="25" xfId="0" applyFont="1" applyFill="1" applyBorder="1" applyAlignment="1">
      <alignment horizontal="center" vertical="center"/>
    </xf>
    <xf numFmtId="0" fontId="9" fillId="89" borderId="25" xfId="0" applyFont="1" applyFill="1" applyBorder="1" applyAlignment="1">
      <alignment horizontal="center" vertical="center"/>
    </xf>
    <xf numFmtId="0" fontId="8" fillId="111" borderId="26" xfId="0" applyFont="1" applyFill="1" applyBorder="1" applyAlignment="1">
      <alignment horizontal="center" vertical="center"/>
    </xf>
    <xf numFmtId="0" fontId="8" fillId="97" borderId="61" xfId="0" applyFont="1" applyFill="1" applyBorder="1" applyAlignment="1">
      <alignment horizontal="center" vertical="center"/>
    </xf>
    <xf numFmtId="0" fontId="8" fillId="109" borderId="76" xfId="0" applyFont="1" applyFill="1" applyBorder="1" applyAlignment="1">
      <alignment horizontal="center" vertical="center"/>
    </xf>
    <xf numFmtId="0" fontId="8" fillId="47" borderId="61" xfId="0" applyFont="1" applyFill="1" applyBorder="1" applyAlignment="1">
      <alignment horizontal="center" vertical="center"/>
    </xf>
    <xf numFmtId="0" fontId="6" fillId="60" borderId="61" xfId="0" applyFont="1" applyFill="1" applyBorder="1" applyAlignment="1">
      <alignment horizontal="center" vertical="center"/>
    </xf>
    <xf numFmtId="0" fontId="6" fillId="42" borderId="61" xfId="0" applyFont="1" applyFill="1" applyBorder="1" applyAlignment="1">
      <alignment horizontal="center" vertical="center"/>
    </xf>
    <xf numFmtId="0" fontId="9" fillId="119" borderId="26" xfId="0" applyFont="1" applyFill="1" applyBorder="1" applyAlignment="1">
      <alignment horizontal="center" vertical="center"/>
    </xf>
    <xf numFmtId="0" fontId="8" fillId="91" borderId="61" xfId="0" applyFont="1" applyFill="1" applyBorder="1" applyAlignment="1">
      <alignment horizontal="center" vertical="center"/>
    </xf>
    <xf numFmtId="0" fontId="6" fillId="113" borderId="65" xfId="0" applyFont="1" applyFill="1" applyBorder="1" applyAlignment="1">
      <alignment horizontal="center" vertical="center"/>
    </xf>
    <xf numFmtId="0" fontId="6" fillId="112" borderId="76" xfId="0" applyFont="1" applyFill="1" applyBorder="1" applyAlignment="1">
      <alignment horizontal="center" vertical="center"/>
    </xf>
    <xf numFmtId="0" fontId="8" fillId="115" borderId="73" xfId="0" applyFont="1" applyFill="1" applyBorder="1" applyAlignment="1">
      <alignment horizontal="center" vertical="center"/>
    </xf>
    <xf numFmtId="0" fontId="8" fillId="115" borderId="25" xfId="0" applyFont="1" applyFill="1" applyBorder="1" applyAlignment="1">
      <alignment horizontal="center" vertical="center"/>
    </xf>
    <xf numFmtId="0" fontId="6" fillId="120" borderId="73" xfId="0" applyFont="1" applyFill="1" applyBorder="1" applyAlignment="1">
      <alignment horizontal="center" vertical="center"/>
    </xf>
    <xf numFmtId="0" fontId="8" fillId="94" borderId="25" xfId="0" applyFont="1" applyFill="1" applyBorder="1" applyAlignment="1">
      <alignment horizontal="center" vertical="center"/>
    </xf>
    <xf numFmtId="0" fontId="6" fillId="124" borderId="19" xfId="0" applyFont="1" applyFill="1" applyBorder="1" applyAlignment="1">
      <alignment horizontal="center" vertical="center"/>
    </xf>
    <xf numFmtId="0" fontId="8" fillId="143" borderId="61" xfId="0" applyFont="1" applyFill="1" applyBorder="1" applyAlignment="1">
      <alignment horizontal="center" vertical="center"/>
    </xf>
    <xf numFmtId="0" fontId="8" fillId="24" borderId="75" xfId="0" applyFont="1" applyFill="1" applyBorder="1" applyAlignment="1">
      <alignment horizontal="center" vertical="center"/>
    </xf>
    <xf numFmtId="0" fontId="9" fillId="128" borderId="24" xfId="0" applyFont="1" applyFill="1" applyBorder="1" applyAlignment="1">
      <alignment horizontal="center" vertical="center"/>
    </xf>
    <xf numFmtId="0" fontId="9" fillId="117" borderId="25" xfId="0" applyFont="1" applyFill="1" applyBorder="1" applyAlignment="1">
      <alignment horizontal="center" vertical="center"/>
    </xf>
    <xf numFmtId="0" fontId="8" fillId="20" borderId="26" xfId="0" applyFont="1" applyFill="1" applyBorder="1" applyAlignment="1">
      <alignment horizontal="center" vertical="center"/>
    </xf>
    <xf numFmtId="0" fontId="9" fillId="117" borderId="24" xfId="0" applyFont="1" applyFill="1" applyBorder="1" applyAlignment="1">
      <alignment horizontal="center" vertical="center"/>
    </xf>
    <xf numFmtId="0" fontId="9" fillId="80" borderId="25" xfId="0" applyFont="1" applyFill="1" applyBorder="1" applyAlignment="1">
      <alignment horizontal="center" vertical="center"/>
    </xf>
    <xf numFmtId="0" fontId="8" fillId="126" borderId="25" xfId="0" applyFont="1" applyFill="1" applyBorder="1" applyAlignment="1">
      <alignment horizontal="center" vertical="center"/>
    </xf>
    <xf numFmtId="0" fontId="8" fillId="47" borderId="65" xfId="0" applyFont="1" applyFill="1" applyBorder="1" applyAlignment="1">
      <alignment horizontal="center" vertical="center"/>
    </xf>
    <xf numFmtId="0" fontId="8" fillId="47" borderId="75" xfId="0" applyFont="1" applyFill="1" applyBorder="1" applyAlignment="1">
      <alignment horizontal="center" vertical="center"/>
    </xf>
    <xf numFmtId="0" fontId="8" fillId="134" borderId="73" xfId="0" applyFont="1" applyFill="1" applyBorder="1" applyAlignment="1">
      <alignment horizontal="center" vertical="center"/>
    </xf>
    <xf numFmtId="0" fontId="6" fillId="106" borderId="61" xfId="0" applyFont="1" applyFill="1" applyBorder="1" applyAlignment="1">
      <alignment horizontal="center" vertical="center"/>
    </xf>
    <xf numFmtId="0" fontId="6" fillId="131" borderId="61" xfId="0" applyFont="1" applyFill="1" applyBorder="1" applyAlignment="1">
      <alignment horizontal="center" vertical="center"/>
    </xf>
    <xf numFmtId="0" fontId="6" fillId="133" borderId="61" xfId="0" applyFont="1" applyFill="1" applyBorder="1" applyAlignment="1">
      <alignment horizontal="center" vertical="center"/>
    </xf>
    <xf numFmtId="0" fontId="6" fillId="137" borderId="61" xfId="0" applyFont="1" applyFill="1" applyBorder="1" applyAlignment="1">
      <alignment horizontal="center" vertical="center"/>
    </xf>
    <xf numFmtId="0" fontId="6" fillId="42" borderId="65" xfId="0" applyFont="1" applyFill="1" applyBorder="1" applyAlignment="1">
      <alignment horizontal="center" vertical="center"/>
    </xf>
    <xf numFmtId="0" fontId="6" fillId="135" borderId="76" xfId="0" applyFont="1" applyFill="1" applyBorder="1" applyAlignment="1">
      <alignment horizontal="center" vertical="center"/>
    </xf>
    <xf numFmtId="0" fontId="6" fillId="129" borderId="61" xfId="0" applyFont="1" applyFill="1" applyBorder="1" applyAlignment="1">
      <alignment horizontal="center" vertical="center"/>
    </xf>
    <xf numFmtId="0" fontId="6" fillId="130" borderId="73" xfId="0" applyFont="1" applyFill="1" applyBorder="1" applyAlignment="1">
      <alignment horizontal="center" vertical="center"/>
    </xf>
    <xf numFmtId="0" fontId="6" fillId="132" borderId="61" xfId="0" applyFont="1" applyFill="1" applyBorder="1" applyAlignment="1">
      <alignment horizontal="center" vertical="center"/>
    </xf>
    <xf numFmtId="0" fontId="6" fillId="135" borderId="61" xfId="0" applyFont="1" applyFill="1" applyBorder="1" applyAlignment="1">
      <alignment horizontal="center" vertical="center"/>
    </xf>
    <xf numFmtId="0" fontId="6" fillId="130" borderId="61" xfId="0" applyFont="1" applyFill="1" applyBorder="1" applyAlignment="1">
      <alignment horizontal="center" vertical="center"/>
    </xf>
    <xf numFmtId="0" fontId="6" fillId="105" borderId="75" xfId="0" applyFont="1" applyFill="1" applyBorder="1" applyAlignment="1">
      <alignment horizontal="center" vertical="center"/>
    </xf>
    <xf numFmtId="0" fontId="9" fillId="118" borderId="24" xfId="0" applyFont="1" applyFill="1" applyBorder="1" applyAlignment="1">
      <alignment horizontal="center" vertical="center"/>
    </xf>
    <xf numFmtId="0" fontId="9" fillId="139" borderId="25" xfId="0" applyFont="1" applyFill="1" applyBorder="1" applyAlignment="1">
      <alignment horizontal="center" vertical="center"/>
    </xf>
    <xf numFmtId="0" fontId="9" fillId="140" borderId="25" xfId="0" applyFont="1" applyFill="1" applyBorder="1" applyAlignment="1">
      <alignment horizontal="center" vertical="center"/>
    </xf>
    <xf numFmtId="0" fontId="9" fillId="142" borderId="25" xfId="0" applyFont="1" applyFill="1" applyBorder="1" applyAlignment="1">
      <alignment horizontal="center" vertical="center"/>
    </xf>
    <xf numFmtId="0" fontId="9" fillId="94" borderId="26" xfId="0" applyFont="1" applyFill="1" applyBorder="1" applyAlignment="1">
      <alignment horizontal="center" vertical="center"/>
    </xf>
    <xf numFmtId="0" fontId="9" fillId="141" borderId="25" xfId="0" applyFont="1" applyFill="1" applyBorder="1" applyAlignment="1">
      <alignment horizontal="center" vertical="center"/>
    </xf>
    <xf numFmtId="0" fontId="9" fillId="133" borderId="25" xfId="0" applyFont="1" applyFill="1" applyBorder="1" applyAlignment="1">
      <alignment horizontal="center" vertical="center"/>
    </xf>
    <xf numFmtId="0" fontId="9" fillId="110" borderId="26" xfId="0" applyFont="1" applyFill="1" applyBorder="1" applyAlignment="1">
      <alignment horizontal="center" vertical="center"/>
    </xf>
    <xf numFmtId="0" fontId="6" fillId="145" borderId="75" xfId="0" applyFont="1" applyFill="1" applyBorder="1" applyAlignment="1">
      <alignment horizontal="center" vertical="center"/>
    </xf>
    <xf numFmtId="0" fontId="6" fillId="146" borderId="76" xfId="0" applyFont="1" applyFill="1" applyBorder="1" applyAlignment="1">
      <alignment horizontal="center" vertical="center"/>
    </xf>
    <xf numFmtId="0" fontId="8" fillId="143" borderId="24" xfId="0" applyFont="1" applyFill="1" applyBorder="1" applyAlignment="1">
      <alignment horizontal="center" vertical="center"/>
    </xf>
    <xf numFmtId="0" fontId="8" fillId="147" borderId="25" xfId="0" applyFont="1" applyFill="1" applyBorder="1" applyAlignment="1">
      <alignment horizontal="center" vertical="center"/>
    </xf>
    <xf numFmtId="0" fontId="9" fillId="146" borderId="25" xfId="0" applyFont="1" applyFill="1" applyBorder="1" applyAlignment="1">
      <alignment horizontal="center" vertical="center"/>
    </xf>
    <xf numFmtId="0" fontId="9" fillId="92" borderId="26" xfId="0" applyFont="1" applyFill="1" applyBorder="1" applyAlignment="1">
      <alignment horizontal="center" vertical="center"/>
    </xf>
    <xf numFmtId="0" fontId="9" fillId="10" borderId="81" xfId="0" applyFont="1" applyFill="1" applyBorder="1"/>
    <xf numFmtId="0" fontId="9" fillId="39" borderId="82" xfId="0" applyFont="1" applyFill="1" applyBorder="1"/>
    <xf numFmtId="0" fontId="9" fillId="34" borderId="82" xfId="0" applyFont="1" applyFill="1" applyBorder="1"/>
    <xf numFmtId="0" fontId="8" fillId="35" borderId="82" xfId="0" applyFont="1" applyFill="1" applyBorder="1" applyAlignment="1">
      <alignment horizontal="center" vertical="center"/>
    </xf>
    <xf numFmtId="0" fontId="9" fillId="37" borderId="83" xfId="0" applyFont="1" applyFill="1" applyBorder="1"/>
    <xf numFmtId="0" fontId="8" fillId="10" borderId="81" xfId="0" applyFont="1" applyFill="1" applyBorder="1"/>
    <xf numFmtId="0" fontId="8" fillId="39" borderId="82" xfId="0" applyFont="1" applyFill="1" applyBorder="1"/>
    <xf numFmtId="0" fontId="8" fillId="38" borderId="82" xfId="0" applyFont="1" applyFill="1" applyBorder="1"/>
    <xf numFmtId="0" fontId="8" fillId="36" borderId="82" xfId="0" applyFont="1" applyFill="1" applyBorder="1"/>
    <xf numFmtId="0" fontId="8" fillId="37" borderId="82" xfId="0" applyFont="1" applyFill="1" applyBorder="1"/>
    <xf numFmtId="0" fontId="9" fillId="61" borderId="83" xfId="0" applyFont="1" applyFill="1" applyBorder="1"/>
    <xf numFmtId="0" fontId="8" fillId="77" borderId="81" xfId="0" applyFont="1" applyFill="1" applyBorder="1" applyAlignment="1">
      <alignment horizontal="center" vertical="center"/>
    </xf>
    <xf numFmtId="0" fontId="9" fillId="76" borderId="82" xfId="0" applyFont="1" applyFill="1" applyBorder="1"/>
    <xf numFmtId="0" fontId="18" fillId="150" borderId="25" xfId="0" applyFont="1" applyFill="1" applyBorder="1" applyAlignment="1">
      <alignment horizontal="center" vertical="center"/>
    </xf>
    <xf numFmtId="0" fontId="8" fillId="151" borderId="82" xfId="0" applyFont="1" applyFill="1" applyBorder="1" applyAlignment="1">
      <alignment horizontal="center" vertical="center"/>
    </xf>
    <xf numFmtId="0" fontId="10" fillId="157" borderId="25" xfId="0" applyFont="1" applyFill="1" applyBorder="1" applyAlignment="1">
      <alignment horizontal="center" vertical="center"/>
    </xf>
    <xf numFmtId="0" fontId="10" fillId="74" borderId="25" xfId="0" applyFont="1" applyFill="1" applyBorder="1" applyAlignment="1">
      <alignment horizontal="center" vertical="center"/>
    </xf>
    <xf numFmtId="0" fontId="9" fillId="152" borderId="83" xfId="0" applyFont="1" applyFill="1" applyBorder="1"/>
    <xf numFmtId="0" fontId="9" fillId="75" borderId="82" xfId="0" applyFont="1" applyFill="1" applyBorder="1"/>
    <xf numFmtId="0" fontId="9" fillId="152" borderId="82" xfId="0" applyFont="1" applyFill="1" applyBorder="1"/>
    <xf numFmtId="0" fontId="9" fillId="153" borderId="83" xfId="0" applyFont="1" applyFill="1" applyBorder="1"/>
    <xf numFmtId="0" fontId="9" fillId="101" borderId="24" xfId="0" applyFont="1" applyFill="1" applyBorder="1" applyAlignment="1">
      <alignment horizontal="center" vertical="center"/>
    </xf>
    <xf numFmtId="0" fontId="8" fillId="106" borderId="26" xfId="0" applyFont="1" applyFill="1" applyBorder="1" applyAlignment="1">
      <alignment horizontal="center" vertical="center"/>
    </xf>
    <xf numFmtId="0" fontId="6" fillId="93" borderId="86" xfId="0" applyFont="1" applyFill="1" applyBorder="1" applyAlignment="1">
      <alignment horizontal="center" vertical="center"/>
    </xf>
    <xf numFmtId="0" fontId="6" fillId="124" borderId="87" xfId="0" applyFont="1" applyFill="1" applyBorder="1" applyAlignment="1">
      <alignment horizontal="center" vertical="center"/>
    </xf>
    <xf numFmtId="0" fontId="6" fillId="47" borderId="88" xfId="0" applyFont="1" applyFill="1" applyBorder="1" applyAlignment="1">
      <alignment horizontal="center" vertical="center"/>
    </xf>
    <xf numFmtId="0" fontId="6" fillId="93" borderId="36" xfId="0" applyFont="1" applyFill="1" applyBorder="1" applyAlignment="1">
      <alignment horizontal="center" vertical="center"/>
    </xf>
    <xf numFmtId="0" fontId="6" fillId="94" borderId="36" xfId="0" applyFont="1" applyFill="1" applyBorder="1" applyAlignment="1">
      <alignment horizontal="center" vertical="center"/>
    </xf>
    <xf numFmtId="0" fontId="6" fillId="47" borderId="36" xfId="0" applyFont="1" applyFill="1" applyBorder="1" applyAlignment="1">
      <alignment horizontal="center" vertical="center"/>
    </xf>
    <xf numFmtId="0" fontId="8" fillId="28" borderId="47" xfId="0" applyFont="1" applyFill="1" applyBorder="1" applyAlignment="1">
      <alignment horizontal="center"/>
    </xf>
    <xf numFmtId="0" fontId="8" fillId="39" borderId="36" xfId="0" applyFont="1" applyFill="1" applyBorder="1" applyAlignment="1">
      <alignment horizontal="center"/>
    </xf>
    <xf numFmtId="0" fontId="9" fillId="29" borderId="35" xfId="0" applyFont="1" applyFill="1" applyBorder="1" applyAlignment="1">
      <alignment horizontal="center" vertical="center"/>
    </xf>
    <xf numFmtId="0" fontId="9" fillId="29" borderId="77" xfId="0" applyFont="1" applyFill="1" applyBorder="1" applyAlignment="1">
      <alignment horizontal="center" vertical="center"/>
    </xf>
    <xf numFmtId="0" fontId="6" fillId="27" borderId="12" xfId="0" applyFont="1" applyFill="1" applyBorder="1" applyAlignment="1">
      <alignment horizontal="center" vertical="center"/>
    </xf>
    <xf numFmtId="0" fontId="6" fillId="27" borderId="25" xfId="0" applyFont="1" applyFill="1" applyBorder="1" applyAlignment="1">
      <alignment horizontal="center" vertical="center"/>
    </xf>
    <xf numFmtId="0" fontId="6" fillId="27" borderId="14" xfId="0" applyFont="1" applyFill="1" applyBorder="1" applyAlignment="1">
      <alignment horizontal="center" vertical="center"/>
    </xf>
    <xf numFmtId="0" fontId="9" fillId="29" borderId="89" xfId="0" applyFont="1" applyFill="1" applyBorder="1" applyAlignment="1">
      <alignment horizontal="center" vertical="center"/>
    </xf>
    <xf numFmtId="0" fontId="9" fillId="29" borderId="14" xfId="0" applyFont="1" applyFill="1" applyBorder="1" applyAlignment="1">
      <alignment horizontal="center" vertical="center"/>
    </xf>
    <xf numFmtId="0" fontId="6" fillId="27" borderId="27" xfId="0" applyFont="1" applyFill="1" applyBorder="1" applyAlignment="1">
      <alignment horizontal="center" vertical="center"/>
    </xf>
    <xf numFmtId="0" fontId="6" fillId="27" borderId="78" xfId="0" applyFont="1" applyFill="1" applyBorder="1" applyAlignment="1">
      <alignment horizontal="center" vertical="center"/>
    </xf>
    <xf numFmtId="0" fontId="6" fillId="27" borderId="28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/>
    </xf>
    <xf numFmtId="0" fontId="13" fillId="69" borderId="26" xfId="0" applyFont="1" applyFill="1" applyBorder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/>
    <xf numFmtId="0" fontId="1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7" xfId="0" applyFont="1" applyFill="1" applyBorder="1"/>
    <xf numFmtId="0" fontId="1" fillId="5" borderId="6" xfId="0" applyFont="1" applyFill="1" applyBorder="1"/>
    <xf numFmtId="0" fontId="1" fillId="5" borderId="8" xfId="0" applyFont="1" applyFill="1" applyBorder="1"/>
    <xf numFmtId="0" fontId="1" fillId="5" borderId="9" xfId="0" applyFont="1" applyFill="1" applyBorder="1"/>
    <xf numFmtId="0" fontId="1" fillId="5" borderId="10" xfId="0" applyFont="1" applyFill="1" applyBorder="1"/>
    <xf numFmtId="0" fontId="8" fillId="0" borderId="23" xfId="0" applyFont="1" applyBorder="1" applyAlignment="1">
      <alignment horizontal="left" vertical="center"/>
    </xf>
    <xf numFmtId="0" fontId="8" fillId="0" borderId="71" xfId="0" applyFont="1" applyBorder="1" applyAlignment="1">
      <alignment horizontal="left" vertical="center"/>
    </xf>
    <xf numFmtId="0" fontId="8" fillId="0" borderId="52" xfId="0" applyFont="1" applyBorder="1" applyAlignment="1">
      <alignment horizontal="left" vertical="center"/>
    </xf>
    <xf numFmtId="0" fontId="8" fillId="0" borderId="7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69" xfId="0" applyFont="1" applyBorder="1" applyAlignment="1">
      <alignment horizontal="left" vertical="center"/>
    </xf>
    <xf numFmtId="0" fontId="8" fillId="0" borderId="58" xfId="0" applyFont="1" applyBorder="1" applyAlignment="1">
      <alignment horizontal="left" vertical="center"/>
    </xf>
    <xf numFmtId="0" fontId="8" fillId="0" borderId="59" xfId="0" applyFont="1" applyBorder="1" applyAlignment="1">
      <alignment horizontal="left" vertical="center"/>
    </xf>
    <xf numFmtId="0" fontId="8" fillId="0" borderId="62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68" xfId="0" applyFont="1" applyBorder="1" applyAlignment="1">
      <alignment horizontal="left" vertical="center"/>
    </xf>
    <xf numFmtId="0" fontId="9" fillId="41" borderId="0" xfId="0" applyFont="1" applyFill="1" applyAlignment="1">
      <alignment horizontal="center" vertical="center"/>
    </xf>
    <xf numFmtId="0" fontId="23" fillId="143" borderId="61" xfId="0" applyFont="1" applyFill="1" applyBorder="1" applyAlignment="1">
      <alignment horizontal="center" vertical="center"/>
    </xf>
    <xf numFmtId="0" fontId="23" fillId="143" borderId="11" xfId="0" applyFont="1" applyFill="1" applyBorder="1" applyAlignment="1">
      <alignment horizontal="center" vertical="center"/>
    </xf>
    <xf numFmtId="0" fontId="23" fillId="118" borderId="11" xfId="0" applyFont="1" applyFill="1" applyBorder="1" applyAlignment="1">
      <alignment horizontal="center" vertical="center"/>
    </xf>
    <xf numFmtId="0" fontId="23" fillId="117" borderId="11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73" xfId="0" applyFont="1" applyFill="1" applyBorder="1" applyAlignment="1">
      <alignment horizontal="center" vertical="center"/>
    </xf>
    <xf numFmtId="0" fontId="23" fillId="143" borderId="63" xfId="0" applyFont="1" applyFill="1" applyBorder="1" applyAlignment="1">
      <alignment horizontal="center" vertical="center"/>
    </xf>
    <xf numFmtId="0" fontId="23" fillId="143" borderId="18" xfId="0" applyFont="1" applyFill="1" applyBorder="1" applyAlignment="1">
      <alignment horizontal="center" vertical="center"/>
    </xf>
    <xf numFmtId="0" fontId="23" fillId="118" borderId="14" xfId="0" applyFont="1" applyFill="1" applyBorder="1" applyAlignment="1">
      <alignment horizontal="center" vertical="center"/>
    </xf>
    <xf numFmtId="0" fontId="23" fillId="117" borderId="74" xfId="0" applyFont="1" applyFill="1" applyBorder="1" applyAlignment="1">
      <alignment horizontal="center" vertical="center"/>
    </xf>
    <xf numFmtId="0" fontId="23" fillId="24" borderId="61" xfId="0" applyFont="1" applyFill="1" applyBorder="1" applyAlignment="1">
      <alignment horizontal="center" vertical="center"/>
    </xf>
    <xf numFmtId="0" fontId="23" fillId="116" borderId="11" xfId="0" applyFont="1" applyFill="1" applyBorder="1" applyAlignment="1">
      <alignment horizontal="center" vertical="center"/>
    </xf>
    <xf numFmtId="0" fontId="24" fillId="41" borderId="11" xfId="0" applyFont="1" applyFill="1" applyBorder="1" applyAlignment="1">
      <alignment horizontal="center" vertical="center"/>
    </xf>
    <xf numFmtId="0" fontId="24" fillId="41" borderId="73" xfId="0" applyFont="1" applyFill="1" applyBorder="1" applyAlignment="1">
      <alignment horizontal="center" vertical="center"/>
    </xf>
    <xf numFmtId="0" fontId="23" fillId="24" borderId="65" xfId="0" applyFont="1" applyFill="1" applyBorder="1" applyAlignment="1">
      <alignment horizontal="center" vertical="center"/>
    </xf>
    <xf numFmtId="0" fontId="23" fillId="24" borderId="75" xfId="0" applyFont="1" applyFill="1" applyBorder="1" applyAlignment="1">
      <alignment horizontal="center" vertical="center"/>
    </xf>
    <xf numFmtId="0" fontId="24" fillId="41" borderId="75" xfId="0" applyFont="1" applyFill="1" applyBorder="1" applyAlignment="1">
      <alignment horizontal="center" vertical="center"/>
    </xf>
    <xf numFmtId="0" fontId="23" fillId="117" borderId="76" xfId="0" applyFont="1" applyFill="1" applyBorder="1" applyAlignment="1">
      <alignment horizontal="center" vertical="center"/>
    </xf>
    <xf numFmtId="0" fontId="23" fillId="118" borderId="61" xfId="0" applyFont="1" applyFill="1" applyBorder="1" applyAlignment="1">
      <alignment horizontal="center" vertical="center"/>
    </xf>
    <xf numFmtId="0" fontId="23" fillId="117" borderId="61" xfId="0" applyFont="1" applyFill="1" applyBorder="1" applyAlignment="1">
      <alignment horizontal="center" vertical="center"/>
    </xf>
    <xf numFmtId="0" fontId="23" fillId="169" borderId="39" xfId="0" applyFont="1" applyFill="1" applyBorder="1" applyAlignment="1">
      <alignment horizontal="center" vertical="center"/>
    </xf>
    <xf numFmtId="0" fontId="23" fillId="169" borderId="94" xfId="0" applyFont="1" applyFill="1" applyBorder="1" applyAlignment="1">
      <alignment horizontal="center" vertical="center"/>
    </xf>
    <xf numFmtId="0" fontId="23" fillId="170" borderId="94" xfId="0" applyFont="1" applyFill="1" applyBorder="1" applyAlignment="1">
      <alignment horizontal="center" vertical="center"/>
    </xf>
    <xf numFmtId="0" fontId="23" fillId="102" borderId="94" xfId="0" applyFont="1" applyFill="1" applyBorder="1" applyAlignment="1">
      <alignment horizontal="center" vertical="center"/>
    </xf>
    <xf numFmtId="0" fontId="24" fillId="41" borderId="94" xfId="0" applyFont="1" applyFill="1" applyBorder="1" applyAlignment="1">
      <alignment horizontal="center" vertical="center"/>
    </xf>
    <xf numFmtId="0" fontId="24" fillId="41" borderId="95" xfId="0" applyFont="1" applyFill="1" applyBorder="1" applyAlignment="1">
      <alignment horizontal="center" vertical="center"/>
    </xf>
    <xf numFmtId="0" fontId="23" fillId="169" borderId="36" xfId="0" applyFont="1" applyFill="1" applyBorder="1" applyAlignment="1">
      <alignment horizontal="center" vertical="center"/>
    </xf>
    <xf numFmtId="0" fontId="23" fillId="169" borderId="11" xfId="0" applyFont="1" applyFill="1" applyBorder="1" applyAlignment="1">
      <alignment horizontal="center" vertical="center"/>
    </xf>
    <xf numFmtId="0" fontId="23" fillId="102" borderId="11" xfId="0" applyFont="1" applyFill="1" applyBorder="1" applyAlignment="1">
      <alignment horizontal="center" vertical="center"/>
    </xf>
    <xf numFmtId="0" fontId="24" fillId="41" borderId="96" xfId="0" applyFont="1" applyFill="1" applyBorder="1" applyAlignment="1">
      <alignment horizontal="center" vertical="center"/>
    </xf>
    <xf numFmtId="0" fontId="23" fillId="170" borderId="36" xfId="0" applyFont="1" applyFill="1" applyBorder="1" applyAlignment="1">
      <alignment horizontal="center" vertical="center"/>
    </xf>
    <xf numFmtId="0" fontId="23" fillId="102" borderId="36" xfId="0" applyFont="1" applyFill="1" applyBorder="1" applyAlignment="1">
      <alignment horizontal="center" vertical="center"/>
    </xf>
    <xf numFmtId="0" fontId="24" fillId="41" borderId="36" xfId="0" applyFont="1" applyFill="1" applyBorder="1" applyAlignment="1">
      <alignment horizontal="center" vertical="center"/>
    </xf>
    <xf numFmtId="0" fontId="23" fillId="170" borderId="11" xfId="0" applyFont="1" applyFill="1" applyBorder="1" applyAlignment="1">
      <alignment horizontal="center" vertical="center"/>
    </xf>
    <xf numFmtId="0" fontId="24" fillId="41" borderId="97" xfId="0" applyFont="1" applyFill="1" applyBorder="1" applyAlignment="1">
      <alignment horizontal="center" vertical="center"/>
    </xf>
    <xf numFmtId="0" fontId="24" fillId="41" borderId="98" xfId="0" applyFont="1" applyFill="1" applyBorder="1" applyAlignment="1">
      <alignment horizontal="center" vertical="center"/>
    </xf>
    <xf numFmtId="0" fontId="24" fillId="41" borderId="86" xfId="0" applyFont="1" applyFill="1" applyBorder="1" applyAlignment="1">
      <alignment horizontal="center" vertical="center"/>
    </xf>
    <xf numFmtId="0" fontId="23" fillId="171" borderId="94" xfId="0" applyFont="1" applyFill="1" applyBorder="1" applyAlignment="1">
      <alignment horizontal="center" vertical="center"/>
    </xf>
    <xf numFmtId="0" fontId="23" fillId="171" borderId="11" xfId="0" applyFont="1" applyFill="1" applyBorder="1" applyAlignment="1">
      <alignment horizontal="center" vertical="center"/>
    </xf>
    <xf numFmtId="0" fontId="23" fillId="171" borderId="36" xfId="0" applyFont="1" applyFill="1" applyBorder="1" applyAlignment="1">
      <alignment horizontal="center" vertical="center"/>
    </xf>
    <xf numFmtId="0" fontId="9" fillId="41" borderId="17" xfId="0" applyFont="1" applyFill="1" applyBorder="1" applyAlignment="1">
      <alignment horizontal="center" vertical="center"/>
    </xf>
    <xf numFmtId="0" fontId="9" fillId="41" borderId="19" xfId="0" applyFont="1" applyFill="1" applyBorder="1" applyAlignment="1">
      <alignment horizontal="center" vertical="center"/>
    </xf>
    <xf numFmtId="0" fontId="9" fillId="95" borderId="22" xfId="0" applyFont="1" applyFill="1" applyBorder="1" applyAlignment="1">
      <alignment horizontal="center" vertical="center"/>
    </xf>
    <xf numFmtId="0" fontId="9" fillId="172" borderId="15" xfId="0" applyFont="1" applyFill="1" applyBorder="1" applyAlignment="1">
      <alignment horizontal="center" vertical="center"/>
    </xf>
    <xf numFmtId="0" fontId="9" fillId="173" borderId="18" xfId="0" applyFont="1" applyFill="1" applyBorder="1" applyAlignment="1">
      <alignment horizontal="center" vertical="center"/>
    </xf>
    <xf numFmtId="0" fontId="9" fillId="169" borderId="18" xfId="0" applyFont="1" applyFill="1" applyBorder="1" applyAlignment="1">
      <alignment horizontal="center" vertical="center"/>
    </xf>
    <xf numFmtId="0" fontId="9" fillId="174" borderId="18" xfId="0" applyFont="1" applyFill="1" applyBorder="1" applyAlignment="1">
      <alignment horizontal="center" vertical="center"/>
    </xf>
    <xf numFmtId="0" fontId="9" fillId="175" borderId="18" xfId="0" applyFont="1" applyFill="1" applyBorder="1" applyAlignment="1">
      <alignment horizontal="center" vertical="center"/>
    </xf>
    <xf numFmtId="0" fontId="9" fillId="162" borderId="18" xfId="0" applyFont="1" applyFill="1" applyBorder="1" applyAlignment="1">
      <alignment horizontal="center" vertical="center"/>
    </xf>
    <xf numFmtId="0" fontId="8" fillId="101" borderId="20" xfId="0" applyFont="1" applyFill="1" applyBorder="1" applyAlignment="1">
      <alignment horizontal="center" vertical="center"/>
    </xf>
    <xf numFmtId="0" fontId="23" fillId="172" borderId="11" xfId="0" applyFont="1" applyFill="1" applyBorder="1" applyAlignment="1">
      <alignment horizontal="center" vertical="center"/>
    </xf>
    <xf numFmtId="0" fontId="23" fillId="172" borderId="39" xfId="0" applyFont="1" applyFill="1" applyBorder="1" applyAlignment="1">
      <alignment horizontal="center" vertical="center"/>
    </xf>
    <xf numFmtId="0" fontId="23" fillId="172" borderId="36" xfId="0" applyFont="1" applyFill="1" applyBorder="1" applyAlignment="1">
      <alignment horizontal="center" vertical="center"/>
    </xf>
    <xf numFmtId="0" fontId="23" fillId="172" borderId="94" xfId="0" applyFont="1" applyFill="1" applyBorder="1" applyAlignment="1">
      <alignment horizontal="center" vertical="center"/>
    </xf>
    <xf numFmtId="0" fontId="23" fillId="173" borderId="11" xfId="0" applyFont="1" applyFill="1" applyBorder="1" applyAlignment="1">
      <alignment horizontal="center" vertical="center"/>
    </xf>
    <xf numFmtId="0" fontId="23" fillId="173" borderId="39" xfId="0" applyFont="1" applyFill="1" applyBorder="1" applyAlignment="1">
      <alignment horizontal="center" vertical="center"/>
    </xf>
    <xf numFmtId="0" fontId="23" fillId="173" borderId="36" xfId="0" applyFont="1" applyFill="1" applyBorder="1" applyAlignment="1">
      <alignment horizontal="center" vertical="center"/>
    </xf>
    <xf numFmtId="0" fontId="23" fillId="173" borderId="94" xfId="0" applyFont="1" applyFill="1" applyBorder="1" applyAlignment="1">
      <alignment horizontal="center" vertical="center"/>
    </xf>
    <xf numFmtId="0" fontId="23" fillId="175" borderId="94" xfId="0" applyFont="1" applyFill="1" applyBorder="1" applyAlignment="1">
      <alignment horizontal="center" vertical="center"/>
    </xf>
    <xf numFmtId="0" fontId="23" fillId="175" borderId="11" xfId="0" applyFont="1" applyFill="1" applyBorder="1" applyAlignment="1">
      <alignment horizontal="center" vertical="center"/>
    </xf>
    <xf numFmtId="0" fontId="24" fillId="41" borderId="12" xfId="0" applyFont="1" applyFill="1" applyBorder="1" applyAlignment="1">
      <alignment horizontal="center" vertical="center"/>
    </xf>
    <xf numFmtId="0" fontId="24" fillId="41" borderId="14" xfId="0" applyFont="1" applyFill="1" applyBorder="1" applyAlignment="1">
      <alignment horizontal="center" vertical="center"/>
    </xf>
    <xf numFmtId="0" fontId="24" fillId="41" borderId="27" xfId="0" applyFont="1" applyFill="1" applyBorder="1" applyAlignment="1">
      <alignment horizontal="center" vertical="center"/>
    </xf>
    <xf numFmtId="0" fontId="24" fillId="41" borderId="35" xfId="0" applyFont="1" applyFill="1" applyBorder="1" applyAlignment="1">
      <alignment horizontal="center" vertical="center"/>
    </xf>
    <xf numFmtId="0" fontId="8" fillId="169" borderId="1" xfId="0" applyFont="1" applyFill="1" applyBorder="1" applyAlignment="1">
      <alignment horizontal="center" vertical="center"/>
    </xf>
    <xf numFmtId="0" fontId="23" fillId="174" borderId="11" xfId="0" applyFont="1" applyFill="1" applyBorder="1" applyAlignment="1">
      <alignment horizontal="center" vertical="center"/>
    </xf>
    <xf numFmtId="0" fontId="23" fillId="174" borderId="94" xfId="0" applyFont="1" applyFill="1" applyBorder="1" applyAlignment="1">
      <alignment horizontal="center" vertical="center"/>
    </xf>
    <xf numFmtId="0" fontId="23" fillId="174" borderId="39" xfId="0" applyFont="1" applyFill="1" applyBorder="1" applyAlignment="1">
      <alignment horizontal="center" vertical="center"/>
    </xf>
    <xf numFmtId="0" fontId="23" fillId="174" borderId="36" xfId="0" applyFont="1" applyFill="1" applyBorder="1" applyAlignment="1">
      <alignment horizontal="center" vertical="center"/>
    </xf>
    <xf numFmtId="0" fontId="23" fillId="175" borderId="36" xfId="0" applyFont="1" applyFill="1" applyBorder="1" applyAlignment="1">
      <alignment horizontal="center" vertical="center"/>
    </xf>
    <xf numFmtId="0" fontId="23" fillId="162" borderId="36" xfId="0" applyFont="1" applyFill="1" applyBorder="1" applyAlignment="1">
      <alignment horizontal="center" vertical="center"/>
    </xf>
    <xf numFmtId="0" fontId="23" fillId="162" borderId="11" xfId="0" applyFont="1" applyFill="1" applyBorder="1" applyAlignment="1">
      <alignment horizontal="center" vertical="center"/>
    </xf>
    <xf numFmtId="0" fontId="23" fillId="162" borderId="94" xfId="0" applyFont="1" applyFill="1" applyBorder="1" applyAlignment="1">
      <alignment horizontal="center" vertical="center"/>
    </xf>
    <xf numFmtId="0" fontId="23" fillId="102" borderId="95" xfId="0" applyFont="1" applyFill="1" applyBorder="1" applyAlignment="1">
      <alignment horizontal="center" vertical="center"/>
    </xf>
    <xf numFmtId="0" fontId="23" fillId="102" borderId="86" xfId="0" applyFont="1" applyFill="1" applyBorder="1" applyAlignment="1">
      <alignment horizontal="center" vertical="center"/>
    </xf>
    <xf numFmtId="0" fontId="24" fillId="113" borderId="11" xfId="0" applyFont="1" applyFill="1" applyBorder="1" applyAlignment="1">
      <alignment horizontal="center" vertical="center"/>
    </xf>
    <xf numFmtId="0" fontId="23" fillId="175" borderId="39" xfId="0" applyFont="1" applyFill="1" applyBorder="1" applyAlignment="1">
      <alignment horizontal="center" vertical="center"/>
    </xf>
    <xf numFmtId="0" fontId="23" fillId="162" borderId="95" xfId="0" applyFont="1" applyFill="1" applyBorder="1" applyAlignment="1">
      <alignment horizontal="center" vertical="center"/>
    </xf>
    <xf numFmtId="0" fontId="23" fillId="102" borderId="97" xfId="0" applyFont="1" applyFill="1" applyBorder="1" applyAlignment="1">
      <alignment horizontal="center" vertical="center"/>
    </xf>
    <xf numFmtId="0" fontId="23" fillId="113" borderId="11" xfId="0" applyFont="1" applyFill="1" applyBorder="1" applyAlignment="1">
      <alignment horizontal="center" vertical="center"/>
    </xf>
    <xf numFmtId="0" fontId="23" fillId="113" borderId="36" xfId="0" applyFont="1" applyFill="1" applyBorder="1" applyAlignment="1">
      <alignment horizontal="center" vertical="center"/>
    </xf>
    <xf numFmtId="0" fontId="23" fillId="162" borderId="39" xfId="0" applyFont="1" applyFill="1" applyBorder="1" applyAlignment="1">
      <alignment horizontal="center" vertical="center"/>
    </xf>
    <xf numFmtId="0" fontId="23" fillId="162" borderId="97" xfId="0" applyFont="1" applyFill="1" applyBorder="1" applyAlignment="1">
      <alignment horizontal="center" vertical="center"/>
    </xf>
    <xf numFmtId="0" fontId="23" fillId="162" borderId="86" xfId="0" applyFont="1" applyFill="1" applyBorder="1" applyAlignment="1">
      <alignment horizontal="center" vertical="center"/>
    </xf>
    <xf numFmtId="0" fontId="23" fillId="113" borderId="96" xfId="0" applyFont="1" applyFill="1" applyBorder="1" applyAlignment="1">
      <alignment horizontal="center" vertical="center"/>
    </xf>
    <xf numFmtId="0" fontId="23" fillId="42" borderId="11" xfId="0" applyFont="1" applyFill="1" applyBorder="1" applyAlignment="1">
      <alignment horizontal="center" vertical="center"/>
    </xf>
    <xf numFmtId="0" fontId="9" fillId="113" borderId="81" xfId="0" applyFont="1" applyFill="1" applyBorder="1" applyAlignment="1">
      <alignment horizontal="center" vertical="center"/>
    </xf>
    <xf numFmtId="0" fontId="8" fillId="136" borderId="83" xfId="0" applyFont="1" applyFill="1" applyBorder="1" applyAlignment="1">
      <alignment horizontal="center" vertical="center"/>
    </xf>
    <xf numFmtId="0" fontId="25" fillId="175" borderId="11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center" vertical="center"/>
    </xf>
    <xf numFmtId="0" fontId="1" fillId="5" borderId="6" xfId="0" applyFont="1" applyFill="1" applyBorder="1" applyAlignment="1">
      <alignment vertical="center"/>
    </xf>
    <xf numFmtId="0" fontId="1" fillId="5" borderId="0" xfId="0" applyFont="1" applyFill="1" applyAlignment="1">
      <alignment vertical="center"/>
    </xf>
    <xf numFmtId="0" fontId="9" fillId="95" borderId="25" xfId="0" applyFont="1" applyFill="1" applyBorder="1" applyAlignment="1">
      <alignment horizontal="center" vertical="center"/>
    </xf>
    <xf numFmtId="0" fontId="9" fillId="176" borderId="0" xfId="0" applyFont="1" applyFill="1" applyAlignment="1">
      <alignment horizontal="center" vertical="center"/>
    </xf>
    <xf numFmtId="0" fontId="9" fillId="94" borderId="102" xfId="0" applyFont="1" applyFill="1" applyBorder="1" applyAlignment="1">
      <alignment horizontal="center" vertical="center"/>
    </xf>
    <xf numFmtId="164" fontId="21" fillId="167" borderId="1" xfId="0" applyNumberFormat="1" applyFont="1" applyFill="1" applyBorder="1" applyAlignment="1" applyProtection="1">
      <alignment horizontal="center"/>
      <protection locked="0"/>
    </xf>
    <xf numFmtId="10" fontId="22" fillId="6" borderId="1" xfId="0" applyNumberFormat="1" applyFont="1" applyFill="1" applyBorder="1" applyAlignment="1">
      <alignment horizontal="center"/>
    </xf>
    <xf numFmtId="2" fontId="21" fillId="168" borderId="1" xfId="0" applyNumberFormat="1" applyFont="1" applyFill="1" applyBorder="1" applyAlignment="1">
      <alignment horizontal="center"/>
    </xf>
    <xf numFmtId="3" fontId="21" fillId="168" borderId="1" xfId="0" applyNumberFormat="1" applyFont="1" applyFill="1" applyBorder="1" applyAlignment="1">
      <alignment horizontal="center"/>
    </xf>
    <xf numFmtId="3" fontId="21" fillId="167" borderId="1" xfId="0" applyNumberFormat="1" applyFont="1" applyFill="1" applyBorder="1" applyAlignment="1" applyProtection="1">
      <alignment horizontal="center"/>
      <protection locked="0"/>
    </xf>
    <xf numFmtId="0" fontId="1" fillId="5" borderId="1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93" xfId="0" applyFont="1" applyBorder="1" applyAlignment="1">
      <alignment horizontal="left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8" fillId="25" borderId="24" xfId="0" applyFont="1" applyFill="1" applyBorder="1" applyAlignment="1">
      <alignment horizontal="center" vertical="center"/>
    </xf>
    <xf numFmtId="0" fontId="8" fillId="25" borderId="59" xfId="0" applyFont="1" applyFill="1" applyBorder="1" applyAlignment="1">
      <alignment horizontal="center" vertical="center"/>
    </xf>
    <xf numFmtId="0" fontId="8" fillId="25" borderId="5" xfId="0" applyFont="1" applyFill="1" applyBorder="1" applyAlignment="1">
      <alignment horizontal="center" vertical="center"/>
    </xf>
    <xf numFmtId="0" fontId="8" fillId="25" borderId="60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0" fillId="159" borderId="3" xfId="0" applyFill="1" applyBorder="1" applyAlignment="1">
      <alignment horizontal="center"/>
    </xf>
    <xf numFmtId="0" fontId="0" fillId="159" borderId="4" xfId="0" applyFill="1" applyBorder="1" applyAlignment="1">
      <alignment horizontal="center"/>
    </xf>
    <xf numFmtId="0" fontId="0" fillId="159" borderId="5" xfId="0" applyFill="1" applyBorder="1" applyAlignment="1">
      <alignment horizontal="center"/>
    </xf>
    <xf numFmtId="0" fontId="0" fillId="159" borderId="8" xfId="0" applyFill="1" applyBorder="1" applyAlignment="1">
      <alignment horizontal="center"/>
    </xf>
    <xf numFmtId="0" fontId="0" fillId="159" borderId="9" xfId="0" applyFill="1" applyBorder="1" applyAlignment="1">
      <alignment horizontal="center"/>
    </xf>
    <xf numFmtId="0" fontId="0" fillId="159" borderId="10" xfId="0" applyFill="1" applyBorder="1" applyAlignment="1">
      <alignment horizontal="center"/>
    </xf>
    <xf numFmtId="0" fontId="8" fillId="99" borderId="15" xfId="0" applyFont="1" applyFill="1" applyBorder="1" applyAlignment="1">
      <alignment vertical="center"/>
    </xf>
    <xf numFmtId="0" fontId="8" fillId="99" borderId="16" xfId="0" applyFont="1" applyFill="1" applyBorder="1" applyAlignment="1">
      <alignment vertical="center"/>
    </xf>
    <xf numFmtId="0" fontId="8" fillId="99" borderId="17" xfId="0" applyFont="1" applyFill="1" applyBorder="1" applyAlignment="1">
      <alignment vertical="center"/>
    </xf>
    <xf numFmtId="0" fontId="8" fillId="99" borderId="18" xfId="0" applyFont="1" applyFill="1" applyBorder="1" applyAlignment="1">
      <alignment vertical="center"/>
    </xf>
    <xf numFmtId="0" fontId="8" fillId="99" borderId="1" xfId="0" applyFont="1" applyFill="1" applyBorder="1" applyAlignment="1">
      <alignment vertical="center"/>
    </xf>
    <xf numFmtId="0" fontId="8" fillId="99" borderId="19" xfId="0" applyFont="1" applyFill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9" fillId="41" borderId="81" xfId="0" applyFont="1" applyFill="1" applyBorder="1" applyAlignment="1">
      <alignment horizontal="center" vertical="center"/>
    </xf>
    <xf numFmtId="0" fontId="9" fillId="41" borderId="66" xfId="0" applyFont="1" applyFill="1" applyBorder="1" applyAlignment="1">
      <alignment horizontal="center" vertical="center"/>
    </xf>
    <xf numFmtId="0" fontId="9" fillId="41" borderId="67" xfId="0" applyFont="1" applyFill="1" applyBorder="1" applyAlignment="1">
      <alignment horizontal="center" vertical="center"/>
    </xf>
    <xf numFmtId="0" fontId="9" fillId="95" borderId="83" xfId="0" applyFont="1" applyFill="1" applyBorder="1" applyAlignment="1">
      <alignment horizontal="center" vertical="center"/>
    </xf>
    <xf numFmtId="0" fontId="9" fillId="95" borderId="52" xfId="0" applyFont="1" applyFill="1" applyBorder="1" applyAlignment="1">
      <alignment horizontal="center" vertical="center"/>
    </xf>
    <xf numFmtId="0" fontId="9" fillId="95" borderId="70" xfId="0" applyFont="1" applyFill="1" applyBorder="1" applyAlignment="1">
      <alignment horizontal="center" vertical="center"/>
    </xf>
    <xf numFmtId="0" fontId="20" fillId="121" borderId="84" xfId="0" applyFont="1" applyFill="1" applyBorder="1" applyAlignment="1">
      <alignment horizontal="center" vertical="center" textRotation="45"/>
    </xf>
    <xf numFmtId="0" fontId="20" fillId="121" borderId="2" xfId="0" applyFont="1" applyFill="1" applyBorder="1" applyAlignment="1">
      <alignment horizontal="center" vertical="center" textRotation="45"/>
    </xf>
    <xf numFmtId="0" fontId="20" fillId="121" borderId="85" xfId="0" applyFont="1" applyFill="1" applyBorder="1" applyAlignment="1">
      <alignment horizontal="center" vertical="center" textRotation="45"/>
    </xf>
    <xf numFmtId="0" fontId="20" fillId="121" borderId="6" xfId="0" applyFont="1" applyFill="1" applyBorder="1" applyAlignment="1">
      <alignment horizontal="center" vertical="center" textRotation="45"/>
    </xf>
    <xf numFmtId="0" fontId="20" fillId="121" borderId="0" xfId="0" applyFont="1" applyFill="1" applyAlignment="1">
      <alignment horizontal="center" vertical="center" textRotation="45"/>
    </xf>
    <xf numFmtId="0" fontId="20" fillId="121" borderId="7" xfId="0" applyFont="1" applyFill="1" applyBorder="1" applyAlignment="1">
      <alignment horizontal="center" vertical="center" textRotation="45"/>
    </xf>
    <xf numFmtId="0" fontId="20" fillId="121" borderId="8" xfId="0" applyFont="1" applyFill="1" applyBorder="1" applyAlignment="1">
      <alignment horizontal="center" vertical="center" textRotation="45"/>
    </xf>
    <xf numFmtId="0" fontId="20" fillId="121" borderId="9" xfId="0" applyFont="1" applyFill="1" applyBorder="1" applyAlignment="1">
      <alignment horizontal="center" vertical="center" textRotation="45"/>
    </xf>
    <xf numFmtId="0" fontId="20" fillId="121" borderId="10" xfId="0" applyFont="1" applyFill="1" applyBorder="1" applyAlignment="1">
      <alignment horizontal="center" vertical="center" textRotation="45"/>
    </xf>
    <xf numFmtId="0" fontId="8" fillId="25" borderId="81" xfId="0" applyFont="1" applyFill="1" applyBorder="1" applyAlignment="1">
      <alignment horizontal="center" vertical="center"/>
    </xf>
    <xf numFmtId="0" fontId="8" fillId="25" borderId="66" xfId="0" applyFont="1" applyFill="1" applyBorder="1" applyAlignment="1">
      <alignment horizontal="center" vertical="center"/>
    </xf>
    <xf numFmtId="0" fontId="8" fillId="25" borderId="67" xfId="0" applyFont="1" applyFill="1" applyBorder="1" applyAlignment="1">
      <alignment horizontal="center" vertical="center"/>
    </xf>
    <xf numFmtId="0" fontId="8" fillId="0" borderId="82" xfId="0" applyFont="1" applyBorder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8" fillId="0" borderId="71" xfId="0" applyFont="1" applyBorder="1" applyAlignment="1">
      <alignment horizontal="left" vertical="center"/>
    </xf>
    <xf numFmtId="0" fontId="8" fillId="0" borderId="83" xfId="0" applyFont="1" applyBorder="1" applyAlignment="1">
      <alignment horizontal="left" vertical="center"/>
    </xf>
    <xf numFmtId="0" fontId="8" fillId="0" borderId="52" xfId="0" applyFont="1" applyBorder="1" applyAlignment="1">
      <alignment horizontal="left" vertical="center"/>
    </xf>
    <xf numFmtId="0" fontId="8" fillId="0" borderId="7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8" fillId="99" borderId="82" xfId="0" applyFont="1" applyFill="1" applyBorder="1" applyAlignment="1">
      <alignment horizontal="left" vertical="center"/>
    </xf>
    <xf numFmtId="0" fontId="8" fillId="99" borderId="23" xfId="0" applyFont="1" applyFill="1" applyBorder="1" applyAlignment="1">
      <alignment horizontal="left" vertical="center"/>
    </xf>
    <xf numFmtId="0" fontId="8" fillId="99" borderId="71" xfId="0" applyFont="1" applyFill="1" applyBorder="1" applyAlignment="1">
      <alignment horizontal="left" vertical="center"/>
    </xf>
    <xf numFmtId="0" fontId="10" fillId="25" borderId="24" xfId="0" applyFont="1" applyFill="1" applyBorder="1" applyAlignment="1">
      <alignment horizontal="center" vertical="center"/>
    </xf>
    <xf numFmtId="0" fontId="10" fillId="25" borderId="59" xfId="0" applyFont="1" applyFill="1" applyBorder="1" applyAlignment="1">
      <alignment horizontal="center" vertical="center"/>
    </xf>
    <xf numFmtId="0" fontId="10" fillId="25" borderId="60" xfId="0" applyFont="1" applyFill="1" applyBorder="1" applyAlignment="1">
      <alignment horizontal="center" vertical="center"/>
    </xf>
    <xf numFmtId="0" fontId="8" fillId="0" borderId="15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4" borderId="0" xfId="0" applyFont="1" applyFill="1" applyAlignment="1">
      <alignment horizontal="left" vertical="center"/>
    </xf>
    <xf numFmtId="0" fontId="8" fillId="0" borderId="1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99" borderId="18" xfId="0" applyFont="1" applyFill="1" applyBorder="1" applyAlignment="1">
      <alignment horizontal="left" vertical="center"/>
    </xf>
    <xf numFmtId="0" fontId="8" fillId="99" borderId="1" xfId="0" applyFont="1" applyFill="1" applyBorder="1" applyAlignment="1">
      <alignment horizontal="left" vertical="center"/>
    </xf>
    <xf numFmtId="0" fontId="8" fillId="99" borderId="19" xfId="0" applyFont="1" applyFill="1" applyBorder="1" applyAlignment="1">
      <alignment horizontal="left" vertical="center"/>
    </xf>
    <xf numFmtId="0" fontId="8" fillId="99" borderId="20" xfId="0" applyFont="1" applyFill="1" applyBorder="1" applyAlignment="1">
      <alignment horizontal="left" vertical="center"/>
    </xf>
    <xf numFmtId="0" fontId="8" fillId="99" borderId="21" xfId="0" applyFont="1" applyFill="1" applyBorder="1" applyAlignment="1">
      <alignment horizontal="left" vertical="center"/>
    </xf>
    <xf numFmtId="0" fontId="8" fillId="99" borderId="22" xfId="0" applyFont="1" applyFill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0" fillId="166" borderId="3" xfId="0" applyFill="1" applyBorder="1" applyAlignment="1">
      <alignment horizontal="center"/>
    </xf>
    <xf numFmtId="0" fontId="0" fillId="166" borderId="4" xfId="0" applyFill="1" applyBorder="1" applyAlignment="1">
      <alignment horizontal="center"/>
    </xf>
    <xf numFmtId="0" fontId="0" fillId="166" borderId="5" xfId="0" applyFill="1" applyBorder="1" applyAlignment="1">
      <alignment horizontal="center"/>
    </xf>
    <xf numFmtId="0" fontId="0" fillId="166" borderId="8" xfId="0" applyFill="1" applyBorder="1" applyAlignment="1">
      <alignment horizontal="center"/>
    </xf>
    <xf numFmtId="0" fontId="0" fillId="166" borderId="9" xfId="0" applyFill="1" applyBorder="1" applyAlignment="1">
      <alignment horizontal="center"/>
    </xf>
    <xf numFmtId="0" fontId="0" fillId="166" borderId="10" xfId="0" applyFill="1" applyBorder="1" applyAlignment="1">
      <alignment horizontal="center"/>
    </xf>
    <xf numFmtId="0" fontId="8" fillId="4" borderId="82" xfId="0" applyFont="1" applyFill="1" applyBorder="1" applyAlignment="1">
      <alignment horizontal="left" vertical="center"/>
    </xf>
    <xf numFmtId="0" fontId="8" fillId="4" borderId="23" xfId="0" applyFont="1" applyFill="1" applyBorder="1" applyAlignment="1">
      <alignment horizontal="left" vertical="center"/>
    </xf>
    <xf numFmtId="0" fontId="8" fillId="4" borderId="71" xfId="0" applyFont="1" applyFill="1" applyBorder="1" applyAlignment="1">
      <alignment horizontal="left" vertical="center"/>
    </xf>
    <xf numFmtId="0" fontId="8" fillId="122" borderId="0" xfId="0" applyFont="1" applyFill="1" applyAlignment="1">
      <alignment vertical="center"/>
    </xf>
    <xf numFmtId="0" fontId="8" fillId="99" borderId="20" xfId="0" applyFont="1" applyFill="1" applyBorder="1" applyAlignment="1">
      <alignment vertical="center"/>
    </xf>
    <xf numFmtId="0" fontId="8" fillId="99" borderId="21" xfId="0" applyFont="1" applyFill="1" applyBorder="1" applyAlignment="1">
      <alignment vertical="center"/>
    </xf>
    <xf numFmtId="0" fontId="8" fillId="99" borderId="22" xfId="0" applyFont="1" applyFill="1" applyBorder="1" applyAlignment="1">
      <alignment vertical="center"/>
    </xf>
    <xf numFmtId="0" fontId="7" fillId="25" borderId="24" xfId="0" applyFont="1" applyFill="1" applyBorder="1" applyAlignment="1">
      <alignment horizontal="center" vertical="center"/>
    </xf>
    <xf numFmtId="0" fontId="7" fillId="25" borderId="59" xfId="0" applyFont="1" applyFill="1" applyBorder="1" applyAlignment="1">
      <alignment horizontal="center" vertical="center"/>
    </xf>
    <xf numFmtId="0" fontId="7" fillId="25" borderId="60" xfId="0" applyFont="1" applyFill="1" applyBorder="1" applyAlignment="1">
      <alignment horizontal="center" vertical="center"/>
    </xf>
    <xf numFmtId="0" fontId="8" fillId="0" borderId="48" xfId="0" applyFont="1" applyBorder="1" applyAlignment="1">
      <alignment horizontal="left" vertical="center"/>
    </xf>
    <xf numFmtId="0" fontId="8" fillId="0" borderId="49" xfId="0" applyFont="1" applyBorder="1" applyAlignment="1">
      <alignment horizontal="left" vertical="center"/>
    </xf>
    <xf numFmtId="0" fontId="8" fillId="0" borderId="5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43" xfId="0" applyFont="1" applyBorder="1" applyAlignment="1">
      <alignment horizontal="left" vertical="center"/>
    </xf>
    <xf numFmtId="0" fontId="8" fillId="0" borderId="54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55" xfId="0" applyFont="1" applyBorder="1" applyAlignment="1">
      <alignment horizontal="left" vertical="center"/>
    </xf>
    <xf numFmtId="0" fontId="8" fillId="0" borderId="51" xfId="0" applyFont="1" applyBorder="1" applyAlignment="1">
      <alignment horizontal="left" vertical="center"/>
    </xf>
    <xf numFmtId="0" fontId="8" fillId="0" borderId="53" xfId="0" applyFont="1" applyBorder="1" applyAlignment="1">
      <alignment horizontal="left" vertical="center"/>
    </xf>
    <xf numFmtId="0" fontId="8" fillId="0" borderId="40" xfId="0" applyFont="1" applyBorder="1" applyAlignment="1">
      <alignment vertical="center"/>
    </xf>
    <xf numFmtId="0" fontId="8" fillId="0" borderId="41" xfId="0" applyFont="1" applyBorder="1" applyAlignment="1">
      <alignment vertical="center"/>
    </xf>
    <xf numFmtId="0" fontId="8" fillId="0" borderId="42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3" xfId="0" applyFont="1" applyBorder="1" applyAlignment="1">
      <alignment vertical="center"/>
    </xf>
    <xf numFmtId="0" fontId="8" fillId="0" borderId="43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44" xfId="0" applyFont="1" applyBorder="1" applyAlignment="1">
      <alignment vertical="center"/>
    </xf>
    <xf numFmtId="0" fontId="8" fillId="0" borderId="56" xfId="0" applyFont="1" applyBorder="1" applyAlignment="1">
      <alignment vertical="center"/>
    </xf>
    <xf numFmtId="0" fontId="8" fillId="0" borderId="45" xfId="0" applyFont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8" fillId="0" borderId="1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10" fillId="4" borderId="0" xfId="0" applyFont="1" applyFill="1" applyAlignment="1">
      <alignment horizontal="left"/>
    </xf>
    <xf numFmtId="0" fontId="10" fillId="25" borderId="12" xfId="0" applyFont="1" applyFill="1" applyBorder="1" applyAlignment="1">
      <alignment horizontal="center" vertical="center"/>
    </xf>
    <xf numFmtId="0" fontId="10" fillId="25" borderId="13" xfId="0" applyFont="1" applyFill="1" applyBorder="1" applyAlignment="1">
      <alignment horizontal="center" vertical="center"/>
    </xf>
    <xf numFmtId="0" fontId="10" fillId="25" borderId="14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0" borderId="16" xfId="0" applyFont="1" applyBorder="1" applyAlignment="1">
      <alignment horizontal="left"/>
    </xf>
    <xf numFmtId="0" fontId="8" fillId="0" borderId="17" xfId="0" applyFont="1" applyBorder="1" applyAlignment="1">
      <alignment horizontal="left"/>
    </xf>
    <xf numFmtId="0" fontId="8" fillId="0" borderId="90" xfId="0" applyFont="1" applyBorder="1" applyAlignment="1">
      <alignment vertical="center"/>
    </xf>
    <xf numFmtId="0" fontId="8" fillId="0" borderId="91" xfId="0" applyFont="1" applyBorder="1" applyAlignment="1">
      <alignment vertical="center"/>
    </xf>
    <xf numFmtId="0" fontId="8" fillId="0" borderId="92" xfId="0" applyFont="1" applyBorder="1" applyAlignment="1">
      <alignment vertical="center"/>
    </xf>
    <xf numFmtId="0" fontId="8" fillId="0" borderId="69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68" xfId="0" applyFont="1" applyBorder="1" applyAlignment="1">
      <alignment horizontal="left" vertical="center"/>
    </xf>
    <xf numFmtId="0" fontId="8" fillId="0" borderId="58" xfId="0" applyFont="1" applyBorder="1" applyAlignment="1">
      <alignment vertical="center"/>
    </xf>
    <xf numFmtId="0" fontId="8" fillId="0" borderId="59" xfId="0" applyFont="1" applyBorder="1" applyAlignment="1">
      <alignment vertical="center"/>
    </xf>
    <xf numFmtId="0" fontId="8" fillId="0" borderId="60" xfId="0" applyFont="1" applyBorder="1" applyAlignment="1">
      <alignment vertical="center"/>
    </xf>
    <xf numFmtId="0" fontId="8" fillId="0" borderId="62" xfId="0" applyFont="1" applyBorder="1" applyAlignment="1">
      <alignment vertical="center"/>
    </xf>
    <xf numFmtId="0" fontId="8" fillId="0" borderId="64" xfId="0" applyFont="1" applyBorder="1" applyAlignment="1">
      <alignment vertical="center"/>
    </xf>
    <xf numFmtId="0" fontId="8" fillId="0" borderId="58" xfId="0" applyFont="1" applyBorder="1" applyAlignment="1">
      <alignment horizontal="left" vertical="center"/>
    </xf>
    <xf numFmtId="0" fontId="8" fillId="0" borderId="59" xfId="0" applyFont="1" applyBorder="1" applyAlignment="1">
      <alignment horizontal="left" vertical="center"/>
    </xf>
    <xf numFmtId="0" fontId="8" fillId="0" borderId="60" xfId="0" applyFont="1" applyBorder="1" applyAlignment="1">
      <alignment horizontal="left" vertical="center"/>
    </xf>
    <xf numFmtId="0" fontId="8" fillId="0" borderId="62" xfId="0" applyFont="1" applyBorder="1" applyAlignment="1">
      <alignment horizontal="left" vertical="center"/>
    </xf>
    <xf numFmtId="0" fontId="8" fillId="25" borderId="3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left"/>
    </xf>
    <xf numFmtId="0" fontId="8" fillId="0" borderId="82" xfId="0" applyFont="1" applyBorder="1" applyAlignment="1">
      <alignment horizontal="left"/>
    </xf>
    <xf numFmtId="0" fontId="8" fillId="0" borderId="23" xfId="0" applyFont="1" applyBorder="1" applyAlignment="1">
      <alignment horizontal="left"/>
    </xf>
    <xf numFmtId="0" fontId="8" fillId="0" borderId="71" xfId="0" applyFont="1" applyBorder="1" applyAlignment="1">
      <alignment horizontal="left"/>
    </xf>
    <xf numFmtId="0" fontId="8" fillId="0" borderId="83" xfId="0" applyFont="1" applyBorder="1" applyAlignment="1">
      <alignment horizontal="left"/>
    </xf>
    <xf numFmtId="0" fontId="8" fillId="0" borderId="52" xfId="0" applyFont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0" borderId="18" xfId="0" applyFont="1" applyBorder="1"/>
    <xf numFmtId="0" fontId="8" fillId="0" borderId="1" xfId="0" applyFont="1" applyBorder="1"/>
    <xf numFmtId="0" fontId="8" fillId="0" borderId="19" xfId="0" applyFont="1" applyBorder="1"/>
    <xf numFmtId="0" fontId="8" fillId="0" borderId="20" xfId="0" applyFont="1" applyBorder="1"/>
    <xf numFmtId="0" fontId="8" fillId="0" borderId="21" xfId="0" applyFont="1" applyBorder="1"/>
    <xf numFmtId="0" fontId="8" fillId="0" borderId="22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8" fillId="0" borderId="2" xfId="0" applyFont="1" applyBorder="1" applyAlignment="1">
      <alignment vertical="center"/>
    </xf>
    <xf numFmtId="0" fontId="1" fillId="4" borderId="0" xfId="0" applyFont="1" applyFill="1" applyAlignment="1">
      <alignment horizontal="left" vertical="center" wrapText="1"/>
    </xf>
    <xf numFmtId="0" fontId="8" fillId="25" borderId="99" xfId="0" applyFont="1" applyFill="1" applyBorder="1" applyAlignment="1">
      <alignment horizontal="center" vertical="center"/>
    </xf>
    <xf numFmtId="0" fontId="8" fillId="25" borderId="100" xfId="0" applyFont="1" applyFill="1" applyBorder="1" applyAlignment="1">
      <alignment horizontal="center" vertical="center"/>
    </xf>
    <xf numFmtId="0" fontId="8" fillId="25" borderId="101" xfId="0" applyFont="1" applyFill="1" applyBorder="1" applyAlignment="1">
      <alignment horizontal="center" vertical="center"/>
    </xf>
    <xf numFmtId="0" fontId="17" fillId="0" borderId="31" xfId="0" applyFont="1" applyBorder="1" applyAlignment="1">
      <alignment horizontal="left" vertical="center"/>
    </xf>
    <xf numFmtId="0" fontId="17" fillId="0" borderId="23" xfId="0" applyFont="1" applyBorder="1" applyAlignment="1">
      <alignment horizontal="left" vertical="center"/>
    </xf>
    <xf numFmtId="0" fontId="17" fillId="0" borderId="30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3" xfId="0" applyFont="1" applyBorder="1" applyAlignment="1">
      <alignment horizontal="left" vertical="center"/>
    </xf>
    <xf numFmtId="0" fontId="17" fillId="0" borderId="32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600E4"/>
      <color rgb="FFA206B2"/>
      <color rgb="FF1CD7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4</xdr:row>
          <xdr:rowOff>9525</xdr:rowOff>
        </xdr:from>
        <xdr:to>
          <xdr:col>9</xdr:col>
          <xdr:colOff>85725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Early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6</xdr:row>
          <xdr:rowOff>190500</xdr:rowOff>
        </xdr:from>
        <xdr:to>
          <xdr:col>9</xdr:col>
          <xdr:colOff>85725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Middle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9</xdr:row>
          <xdr:rowOff>161925</xdr:rowOff>
        </xdr:from>
        <xdr:to>
          <xdr:col>9</xdr:col>
          <xdr:colOff>95250</xdr:colOff>
          <xdr:row>11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Late Positon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5</xdr:row>
          <xdr:rowOff>28575</xdr:rowOff>
        </xdr:from>
        <xdr:to>
          <xdr:col>33</xdr:col>
          <xdr:colOff>85725</xdr:colOff>
          <xdr:row>7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BTN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13</xdr:row>
          <xdr:rowOff>123825</xdr:rowOff>
        </xdr:from>
        <xdr:to>
          <xdr:col>33</xdr:col>
          <xdr:colOff>76200</xdr:colOff>
          <xdr:row>16</xdr:row>
          <xdr:rowOff>76200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BIG BLIND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8</xdr:row>
          <xdr:rowOff>257175</xdr:rowOff>
        </xdr:from>
        <xdr:to>
          <xdr:col>33</xdr:col>
          <xdr:colOff>95250</xdr:colOff>
          <xdr:row>11</xdr:row>
          <xdr:rowOff>209550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SMALL BLIND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12</xdr:row>
          <xdr:rowOff>114300</xdr:rowOff>
        </xdr:from>
        <xdr:to>
          <xdr:col>9</xdr:col>
          <xdr:colOff>66675</xdr:colOff>
          <xdr:row>14</xdr:row>
          <xdr:rowOff>161925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SMALL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15</xdr:row>
          <xdr:rowOff>114300</xdr:rowOff>
        </xdr:from>
        <xdr:to>
          <xdr:col>9</xdr:col>
          <xdr:colOff>66675</xdr:colOff>
          <xdr:row>17</xdr:row>
          <xdr:rowOff>180975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9</xdr:row>
          <xdr:rowOff>133350</xdr:rowOff>
        </xdr:from>
        <xdr:to>
          <xdr:col>25</xdr:col>
          <xdr:colOff>114300</xdr:colOff>
          <xdr:row>12</xdr:row>
          <xdr:rowOff>19050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SB VS 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247650</xdr:colOff>
          <xdr:row>12</xdr:row>
          <xdr:rowOff>114300</xdr:rowOff>
        </xdr:from>
        <xdr:to>
          <xdr:col>25</xdr:col>
          <xdr:colOff>104775</xdr:colOff>
          <xdr:row>15</xdr:row>
          <xdr:rowOff>38100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BB VS SB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200025</xdr:colOff>
          <xdr:row>15</xdr:row>
          <xdr:rowOff>133350</xdr:rowOff>
        </xdr:from>
        <xdr:to>
          <xdr:col>25</xdr:col>
          <xdr:colOff>123825</xdr:colOff>
          <xdr:row>18</xdr:row>
          <xdr:rowOff>19050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Call em Shove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4</xdr:row>
          <xdr:rowOff>57150</xdr:rowOff>
        </xdr:from>
        <xdr:to>
          <xdr:col>25</xdr:col>
          <xdr:colOff>66675</xdr:colOff>
          <xdr:row>6</xdr:row>
          <xdr:rowOff>171450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OPEN SHOVE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3</xdr:row>
          <xdr:rowOff>152400</xdr:rowOff>
        </xdr:from>
        <xdr:to>
          <xdr:col>17</xdr:col>
          <xdr:colOff>114300</xdr:colOff>
          <xdr:row>6</xdr:row>
          <xdr:rowOff>161925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Early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Middle </a:t>
              </a:r>
              <a:endParaRPr lang="pt-BR" sz="1200" b="1" i="0" u="none" strike="noStrike" baseline="0">
                <a:solidFill>
                  <a:srgbClr val="000000"/>
                </a:solidFill>
                <a:latin typeface="Constantia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onstanti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7</xdr:row>
          <xdr:rowOff>114300</xdr:rowOff>
        </xdr:from>
        <xdr:to>
          <xdr:col>17</xdr:col>
          <xdr:colOff>95250</xdr:colOff>
          <xdr:row>10</xdr:row>
          <xdr:rowOff>47625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Hijack / Cutoff</a:t>
              </a:r>
            </a:p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13</xdr:row>
          <xdr:rowOff>19050</xdr:rowOff>
        </xdr:from>
        <xdr:to>
          <xdr:col>17</xdr:col>
          <xdr:colOff>38100</xdr:colOff>
          <xdr:row>15</xdr:row>
          <xdr:rowOff>9525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10bb</a:t>
              </a:r>
              <a:endParaRPr lang="pt-BR" sz="1200" b="1" i="0" u="none" strike="noStrike" baseline="0">
                <a:solidFill>
                  <a:srgbClr val="000000"/>
                </a:solidFill>
                <a:latin typeface="Constantia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200" b="1" i="0" u="none" strike="noStrike" baseline="0">
                <a:solidFill>
                  <a:srgbClr val="000000"/>
                </a:solidFill>
                <a:latin typeface="Constanti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16</xdr:row>
          <xdr:rowOff>9525</xdr:rowOff>
        </xdr:from>
        <xdr:to>
          <xdr:col>17</xdr:col>
          <xdr:colOff>19050</xdr:colOff>
          <xdr:row>17</xdr:row>
          <xdr:rowOff>180975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15bb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280864</xdr:colOff>
      <xdr:row>1</xdr:row>
      <xdr:rowOff>4886</xdr:rowOff>
    </xdr:from>
    <xdr:to>
      <xdr:col>3</xdr:col>
      <xdr:colOff>23585</xdr:colOff>
      <xdr:row>2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364" y="205969"/>
          <a:ext cx="377721" cy="3761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85725</xdr:rowOff>
        </xdr:from>
        <xdr:to>
          <xdr:col>6</xdr:col>
          <xdr:colOff>85725</xdr:colOff>
          <xdr:row>2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581025</xdr:colOff>
      <xdr:row>3</xdr:row>
      <xdr:rowOff>28575</xdr:rowOff>
    </xdr:from>
    <xdr:to>
      <xdr:col>15</xdr:col>
      <xdr:colOff>542923</xdr:colOff>
      <xdr:row>6</xdr:row>
      <xdr:rowOff>28573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4375" y="60007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361950</xdr:colOff>
          <xdr:row>6</xdr:row>
          <xdr:rowOff>47625</xdr:rowOff>
        </xdr:from>
        <xdr:to>
          <xdr:col>16</xdr:col>
          <xdr:colOff>104775</xdr:colOff>
          <xdr:row>7</xdr:row>
          <xdr:rowOff>180975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2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85725</xdr:colOff>
      <xdr:row>3</xdr:row>
      <xdr:rowOff>66675</xdr:rowOff>
    </xdr:from>
    <xdr:to>
      <xdr:col>16</xdr:col>
      <xdr:colOff>47623</xdr:colOff>
      <xdr:row>6</xdr:row>
      <xdr:rowOff>66673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0" y="63817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6</xdr:row>
          <xdr:rowOff>114300</xdr:rowOff>
        </xdr:from>
        <xdr:to>
          <xdr:col>16</xdr:col>
          <xdr:colOff>257175</xdr:colOff>
          <xdr:row>8</xdr:row>
          <xdr:rowOff>57150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3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123825</xdr:colOff>
      <xdr:row>2</xdr:row>
      <xdr:rowOff>161925</xdr:rowOff>
    </xdr:from>
    <xdr:to>
      <xdr:col>16</xdr:col>
      <xdr:colOff>85723</xdr:colOff>
      <xdr:row>5</xdr:row>
      <xdr:rowOff>161923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6775" y="54292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533400</xdr:colOff>
          <xdr:row>6</xdr:row>
          <xdr:rowOff>9525</xdr:rowOff>
        </xdr:from>
        <xdr:to>
          <xdr:col>16</xdr:col>
          <xdr:colOff>276225</xdr:colOff>
          <xdr:row>7</xdr:row>
          <xdr:rowOff>142875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57150</xdr:colOff>
      <xdr:row>2</xdr:row>
      <xdr:rowOff>152400</xdr:rowOff>
    </xdr:from>
    <xdr:to>
      <xdr:col>16</xdr:col>
      <xdr:colOff>19048</xdr:colOff>
      <xdr:row>5</xdr:row>
      <xdr:rowOff>152398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5334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5</xdr:row>
          <xdr:rowOff>180975</xdr:rowOff>
        </xdr:from>
        <xdr:to>
          <xdr:col>16</xdr:col>
          <xdr:colOff>209550</xdr:colOff>
          <xdr:row>7</xdr:row>
          <xdr:rowOff>123825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5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76200</xdr:colOff>
      <xdr:row>2</xdr:row>
      <xdr:rowOff>19050</xdr:rowOff>
    </xdr:from>
    <xdr:to>
      <xdr:col>16</xdr:col>
      <xdr:colOff>38098</xdr:colOff>
      <xdr:row>5</xdr:row>
      <xdr:rowOff>19048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0" y="4000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495300</xdr:colOff>
          <xdr:row>5</xdr:row>
          <xdr:rowOff>57150</xdr:rowOff>
        </xdr:from>
        <xdr:to>
          <xdr:col>16</xdr:col>
          <xdr:colOff>238125</xdr:colOff>
          <xdr:row>7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6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66675</xdr:colOff>
      <xdr:row>5</xdr:row>
      <xdr:rowOff>142875</xdr:rowOff>
    </xdr:from>
    <xdr:to>
      <xdr:col>29</xdr:col>
      <xdr:colOff>28573</xdr:colOff>
      <xdr:row>8</xdr:row>
      <xdr:rowOff>142873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50" y="109537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8</xdr:row>
          <xdr:rowOff>180975</xdr:rowOff>
        </xdr:from>
        <xdr:to>
          <xdr:col>29</xdr:col>
          <xdr:colOff>200025</xdr:colOff>
          <xdr:row>10</xdr:row>
          <xdr:rowOff>123825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266700</xdr:colOff>
      <xdr:row>4</xdr:row>
      <xdr:rowOff>57150</xdr:rowOff>
    </xdr:from>
    <xdr:to>
      <xdr:col>29</xdr:col>
      <xdr:colOff>228598</xdr:colOff>
      <xdr:row>7</xdr:row>
      <xdr:rowOff>57148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5850" y="8191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</xdr:colOff>
          <xdr:row>7</xdr:row>
          <xdr:rowOff>66675</xdr:rowOff>
        </xdr:from>
        <xdr:to>
          <xdr:col>29</xdr:col>
          <xdr:colOff>400050</xdr:colOff>
          <xdr:row>9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0</xdr:row>
      <xdr:rowOff>180975</xdr:rowOff>
    </xdr:from>
    <xdr:to>
      <xdr:col>2</xdr:col>
      <xdr:colOff>126206</xdr:colOff>
      <xdr:row>2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" y="180975"/>
          <a:ext cx="390525" cy="390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</xdr:row>
          <xdr:rowOff>38100</xdr:rowOff>
        </xdr:from>
        <xdr:to>
          <xdr:col>6</xdr:col>
          <xdr:colOff>95250</xdr:colOff>
          <xdr:row>2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185737</xdr:colOff>
      <xdr:row>0</xdr:row>
      <xdr:rowOff>188119</xdr:rowOff>
    </xdr:from>
    <xdr:to>
      <xdr:col>2</xdr:col>
      <xdr:colOff>244554</xdr:colOff>
      <xdr:row>2</xdr:row>
      <xdr:rowOff>166687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88119"/>
          <a:ext cx="368379" cy="371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47625</xdr:rowOff>
        </xdr:from>
        <xdr:to>
          <xdr:col>6</xdr:col>
          <xdr:colOff>142875</xdr:colOff>
          <xdr:row>2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</xdr:row>
      <xdr:rowOff>19050</xdr:rowOff>
    </xdr:from>
    <xdr:to>
      <xdr:col>2</xdr:col>
      <xdr:colOff>257175</xdr:colOff>
      <xdr:row>2</xdr:row>
      <xdr:rowOff>171450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19075"/>
          <a:ext cx="342900" cy="342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</xdr:row>
          <xdr:rowOff>47625</xdr:rowOff>
        </xdr:from>
        <xdr:to>
          <xdr:col>6</xdr:col>
          <xdr:colOff>38100</xdr:colOff>
          <xdr:row>2</xdr:row>
          <xdr:rowOff>161925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1</xdr:row>
      <xdr:rowOff>0</xdr:rowOff>
    </xdr:from>
    <xdr:to>
      <xdr:col>2</xdr:col>
      <xdr:colOff>257175</xdr:colOff>
      <xdr:row>2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200025"/>
          <a:ext cx="381000" cy="38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57150</xdr:rowOff>
        </xdr:from>
        <xdr:to>
          <xdr:col>5</xdr:col>
          <xdr:colOff>247650</xdr:colOff>
          <xdr:row>2</xdr:row>
          <xdr:rowOff>133350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C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243418</xdr:colOff>
      <xdr:row>0</xdr:row>
      <xdr:rowOff>169333</xdr:rowOff>
    </xdr:from>
    <xdr:to>
      <xdr:col>3</xdr:col>
      <xdr:colOff>55385</xdr:colOff>
      <xdr:row>3</xdr:row>
      <xdr:rowOff>21164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918" y="169333"/>
          <a:ext cx="446967" cy="444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57150</xdr:rowOff>
        </xdr:from>
        <xdr:to>
          <xdr:col>6</xdr:col>
          <xdr:colOff>66675</xdr:colOff>
          <xdr:row>2</xdr:row>
          <xdr:rowOff>133350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202407</xdr:colOff>
      <xdr:row>1</xdr:row>
      <xdr:rowOff>0</xdr:rowOff>
    </xdr:from>
    <xdr:to>
      <xdr:col>2</xdr:col>
      <xdr:colOff>250031</xdr:colOff>
      <xdr:row>2</xdr:row>
      <xdr:rowOff>169688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0" y="202406"/>
          <a:ext cx="357186" cy="360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</xdr:row>
          <xdr:rowOff>66675</xdr:rowOff>
        </xdr:from>
        <xdr:to>
          <xdr:col>6</xdr:col>
          <xdr:colOff>38100</xdr:colOff>
          <xdr:row>2</xdr:row>
          <xdr:rowOff>123825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273846</xdr:colOff>
      <xdr:row>0</xdr:row>
      <xdr:rowOff>166688</xdr:rowOff>
    </xdr:from>
    <xdr:to>
      <xdr:col>3</xdr:col>
      <xdr:colOff>76201</xdr:colOff>
      <xdr:row>3</xdr:row>
      <xdr:rowOff>-1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971" y="166688"/>
          <a:ext cx="421480" cy="428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57150</xdr:rowOff>
        </xdr:from>
        <xdr:to>
          <xdr:col>6</xdr:col>
          <xdr:colOff>133350</xdr:colOff>
          <xdr:row>2</xdr:row>
          <xdr:rowOff>133350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F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208491</xdr:colOff>
      <xdr:row>0</xdr:row>
      <xdr:rowOff>190499</xdr:rowOff>
    </xdr:from>
    <xdr:to>
      <xdr:col>2</xdr:col>
      <xdr:colOff>293343</xdr:colOff>
      <xdr:row>2</xdr:row>
      <xdr:rowOff>196847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991" y="190499"/>
          <a:ext cx="402352" cy="3979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</xdr:row>
          <xdr:rowOff>47625</xdr:rowOff>
        </xdr:from>
        <xdr:to>
          <xdr:col>6</xdr:col>
          <xdr:colOff>95250</xdr:colOff>
          <xdr:row>2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0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238125</xdr:colOff>
      <xdr:row>4</xdr:row>
      <xdr:rowOff>38100</xdr:rowOff>
    </xdr:from>
    <xdr:to>
      <xdr:col>29</xdr:col>
      <xdr:colOff>200023</xdr:colOff>
      <xdr:row>7</xdr:row>
      <xdr:rowOff>38098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0" y="8001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7</xdr:row>
          <xdr:rowOff>76200</xdr:rowOff>
        </xdr:from>
        <xdr:to>
          <xdr:col>29</xdr:col>
          <xdr:colOff>381000</xdr:colOff>
          <xdr:row>9</xdr:row>
          <xdr:rowOff>19050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1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285750</xdr:colOff>
      <xdr:row>5</xdr:row>
      <xdr:rowOff>133350</xdr:rowOff>
    </xdr:from>
    <xdr:to>
      <xdr:col>29</xdr:col>
      <xdr:colOff>247648</xdr:colOff>
      <xdr:row>8</xdr:row>
      <xdr:rowOff>133348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10858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95250</xdr:colOff>
          <xdr:row>8</xdr:row>
          <xdr:rowOff>171450</xdr:rowOff>
        </xdr:from>
        <xdr:to>
          <xdr:col>29</xdr:col>
          <xdr:colOff>447675</xdr:colOff>
          <xdr:row>10</xdr:row>
          <xdr:rowOff>114300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295275</xdr:colOff>
      <xdr:row>3</xdr:row>
      <xdr:rowOff>123825</xdr:rowOff>
    </xdr:from>
    <xdr:to>
      <xdr:col>29</xdr:col>
      <xdr:colOff>257173</xdr:colOff>
      <xdr:row>6</xdr:row>
      <xdr:rowOff>123823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69532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85725</xdr:colOff>
          <xdr:row>6</xdr:row>
          <xdr:rowOff>171450</xdr:rowOff>
        </xdr:from>
        <xdr:to>
          <xdr:col>29</xdr:col>
          <xdr:colOff>438150</xdr:colOff>
          <xdr:row>8</xdr:row>
          <xdr:rowOff>114300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190500</xdr:rowOff>
    </xdr:from>
    <xdr:to>
      <xdr:col>2</xdr:col>
      <xdr:colOff>247650</xdr:colOff>
      <xdr:row>2</xdr:row>
      <xdr:rowOff>190500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725" y="190500"/>
          <a:ext cx="40005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</xdr:row>
          <xdr:rowOff>47625</xdr:rowOff>
        </xdr:from>
        <xdr:to>
          <xdr:col>6</xdr:col>
          <xdr:colOff>76200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190500</xdr:rowOff>
    </xdr:from>
    <xdr:to>
      <xdr:col>2</xdr:col>
      <xdr:colOff>29936</xdr:colOff>
      <xdr:row>2</xdr:row>
      <xdr:rowOff>190500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190500"/>
          <a:ext cx="390525" cy="390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</xdr:row>
          <xdr:rowOff>66675</xdr:rowOff>
        </xdr:from>
        <xdr:to>
          <xdr:col>6</xdr:col>
          <xdr:colOff>190500</xdr:colOff>
          <xdr:row>2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1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228600</xdr:colOff>
      <xdr:row>2</xdr:row>
      <xdr:rowOff>114300</xdr:rowOff>
    </xdr:from>
    <xdr:to>
      <xdr:col>17</xdr:col>
      <xdr:colOff>161923</xdr:colOff>
      <xdr:row>5</xdr:row>
      <xdr:rowOff>76198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33900" y="4953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95250</xdr:rowOff>
        </xdr:from>
        <xdr:to>
          <xdr:col>18</xdr:col>
          <xdr:colOff>19050</xdr:colOff>
          <xdr:row>7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161925</xdr:rowOff>
    </xdr:from>
    <xdr:to>
      <xdr:col>2</xdr:col>
      <xdr:colOff>247650</xdr:colOff>
      <xdr:row>2</xdr:row>
      <xdr:rowOff>190500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61925"/>
          <a:ext cx="4191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1</xdr:row>
          <xdr:rowOff>76200</xdr:rowOff>
        </xdr:from>
        <xdr:to>
          <xdr:col>6</xdr:col>
          <xdr:colOff>171450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190500</xdr:colOff>
      <xdr:row>1</xdr:row>
      <xdr:rowOff>95250</xdr:rowOff>
    </xdr:from>
    <xdr:to>
      <xdr:col>19</xdr:col>
      <xdr:colOff>190498</xdr:colOff>
      <xdr:row>4</xdr:row>
      <xdr:rowOff>95248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1125" y="47625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4</xdr:row>
          <xdr:rowOff>104775</xdr:rowOff>
        </xdr:from>
        <xdr:to>
          <xdr:col>20</xdr:col>
          <xdr:colOff>85725</xdr:colOff>
          <xdr:row>6</xdr:row>
          <xdr:rowOff>47625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1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</xdr:row>
      <xdr:rowOff>0</xdr:rowOff>
    </xdr:from>
    <xdr:to>
      <xdr:col>3</xdr:col>
      <xdr:colOff>9525</xdr:colOff>
      <xdr:row>2</xdr:row>
      <xdr:rowOff>180975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200025"/>
          <a:ext cx="381000" cy="38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1</xdr:row>
          <xdr:rowOff>57150</xdr:rowOff>
        </xdr:from>
        <xdr:to>
          <xdr:col>6</xdr:col>
          <xdr:colOff>57150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173567</xdr:colOff>
      <xdr:row>1</xdr:row>
      <xdr:rowOff>2117</xdr:rowOff>
    </xdr:from>
    <xdr:to>
      <xdr:col>2</xdr:col>
      <xdr:colOff>211667</xdr:colOff>
      <xdr:row>2</xdr:row>
      <xdr:rowOff>175778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650" y="203200"/>
          <a:ext cx="366184" cy="3641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1</xdr:row>
          <xdr:rowOff>57150</xdr:rowOff>
        </xdr:from>
        <xdr:to>
          <xdr:col>6</xdr:col>
          <xdr:colOff>123825</xdr:colOff>
          <xdr:row>2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1</xdr:row>
      <xdr:rowOff>0</xdr:rowOff>
    </xdr:from>
    <xdr:to>
      <xdr:col>2</xdr:col>
      <xdr:colOff>247650</xdr:colOff>
      <xdr:row>2</xdr:row>
      <xdr:rowOff>161925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200025"/>
          <a:ext cx="352425" cy="352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1</xdr:row>
          <xdr:rowOff>57150</xdr:rowOff>
        </xdr:from>
        <xdr:to>
          <xdr:col>6</xdr:col>
          <xdr:colOff>133350</xdr:colOff>
          <xdr:row>2</xdr:row>
          <xdr:rowOff>142875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2</xdr:row>
      <xdr:rowOff>0</xdr:rowOff>
    </xdr:from>
    <xdr:to>
      <xdr:col>15</xdr:col>
      <xdr:colOff>571498</xdr:colOff>
      <xdr:row>4</xdr:row>
      <xdr:rowOff>190498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381000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5</xdr:row>
          <xdr:rowOff>19050</xdr:rowOff>
        </xdr:from>
        <xdr:to>
          <xdr:col>16</xdr:col>
          <xdr:colOff>171450</xdr:colOff>
          <xdr:row>6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C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225953</xdr:colOff>
      <xdr:row>0</xdr:row>
      <xdr:rowOff>178064</xdr:rowOff>
    </xdr:from>
    <xdr:to>
      <xdr:col>3</xdr:col>
      <xdr:colOff>262</xdr:colOff>
      <xdr:row>2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453" y="178064"/>
          <a:ext cx="409309" cy="4040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47625</xdr:rowOff>
        </xdr:from>
        <xdr:to>
          <xdr:col>6</xdr:col>
          <xdr:colOff>85725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7</xdr:row>
      <xdr:rowOff>142875</xdr:rowOff>
    </xdr:from>
    <xdr:to>
      <xdr:col>20</xdr:col>
      <xdr:colOff>76198</xdr:colOff>
      <xdr:row>10</xdr:row>
      <xdr:rowOff>142873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4772025"/>
          <a:ext cx="571498" cy="57149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10</xdr:row>
          <xdr:rowOff>171450</xdr:rowOff>
        </xdr:from>
        <xdr:to>
          <xdr:col>21</xdr:col>
          <xdr:colOff>171450</xdr:colOff>
          <xdr:row>12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0</xdr:row>
      <xdr:rowOff>180975</xdr:rowOff>
    </xdr:from>
    <xdr:to>
      <xdr:col>3</xdr:col>
      <xdr:colOff>9525</xdr:colOff>
      <xdr:row>3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180975"/>
          <a:ext cx="409575" cy="409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</xdr:row>
          <xdr:rowOff>66675</xdr:rowOff>
        </xdr:from>
        <xdr:to>
          <xdr:col>6</xdr:col>
          <xdr:colOff>9525</xdr:colOff>
          <xdr:row>2</xdr:row>
          <xdr:rowOff>114300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onstantia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BQ35"/>
  <sheetViews>
    <sheetView showGridLines="0" zoomScale="90" zoomScaleNormal="90" workbookViewId="0">
      <selection activeCell="Y19" sqref="Y19"/>
    </sheetView>
  </sheetViews>
  <sheetFormatPr defaultColWidth="9.140625" defaultRowHeight="15"/>
  <cols>
    <col min="1" max="2" width="9.140625" style="1"/>
    <col min="3" max="3" width="4.85546875" style="3" bestFit="1" customWidth="1"/>
    <col min="4" max="4" width="4.28515625" style="3" bestFit="1" customWidth="1"/>
    <col min="5" max="5" width="4.28515625" style="3" customWidth="1"/>
    <col min="6" max="6" width="4.28515625" style="3" bestFit="1" customWidth="1"/>
    <col min="7" max="7" width="4.28515625" style="3" customWidth="1"/>
    <col min="8" max="8" width="4.28515625" style="3" bestFit="1" customWidth="1"/>
    <col min="9" max="9" width="4.28515625" style="3" customWidth="1"/>
    <col min="10" max="12" width="4.28515625" style="3" bestFit="1" customWidth="1"/>
    <col min="13" max="13" width="3" style="1" customWidth="1"/>
    <col min="14" max="14" width="4.85546875" style="1" bestFit="1" customWidth="1"/>
    <col min="15" max="15" width="1.7109375" style="1" customWidth="1"/>
    <col min="16" max="16" width="4.5703125" style="1" bestFit="1" customWidth="1"/>
    <col min="17" max="18" width="4.28515625" style="1" bestFit="1" customWidth="1"/>
    <col min="19" max="19" width="1.85546875" style="1" customWidth="1"/>
    <col min="20" max="22" width="4.28515625" style="1" bestFit="1" customWidth="1"/>
    <col min="23" max="23" width="1.5703125" style="1" customWidth="1"/>
    <col min="24" max="25" width="4.28515625" style="1" customWidth="1"/>
    <col min="26" max="27" width="4.28515625" style="1" bestFit="1" customWidth="1"/>
    <col min="28" max="28" width="2.28515625" style="1" customWidth="1"/>
    <col min="29" max="29" width="2.85546875" style="1" customWidth="1"/>
    <col min="30" max="30" width="4.7109375" style="1" bestFit="1" customWidth="1"/>
    <col min="31" max="31" width="4.5703125" style="1" bestFit="1" customWidth="1"/>
    <col min="32" max="32" width="4" style="1" bestFit="1" customWidth="1"/>
    <col min="33" max="40" width="4.28515625" style="1" bestFit="1" customWidth="1"/>
    <col min="41" max="42" width="3.28515625" style="1" customWidth="1"/>
    <col min="43" max="43" width="4.85546875" style="1" bestFit="1" customWidth="1"/>
    <col min="44" max="44" width="4.7109375" style="1" bestFit="1" customWidth="1"/>
    <col min="45" max="45" width="34.5703125" style="1" customWidth="1"/>
    <col min="46" max="46" width="13.7109375" style="1" bestFit="1" customWidth="1"/>
    <col min="47" max="47" width="1.85546875" style="1" customWidth="1"/>
    <col min="48" max="48" width="13.7109375" style="1" customWidth="1"/>
    <col min="49" max="49" width="2.28515625" style="1" customWidth="1"/>
    <col min="50" max="50" width="13.7109375" style="1" customWidth="1"/>
    <col min="51" max="51" width="2.28515625" style="1" customWidth="1"/>
    <col min="52" max="52" width="13.7109375" style="1" customWidth="1"/>
    <col min="53" max="55" width="4.28515625" style="1" bestFit="1" customWidth="1"/>
    <col min="56" max="56" width="2.5703125" style="1" customWidth="1"/>
    <col min="57" max="69" width="8.7109375" customWidth="1"/>
    <col min="70" max="16384" width="9.140625" style="1"/>
  </cols>
  <sheetData>
    <row r="1" spans="3:69">
      <c r="AU1"/>
      <c r="AV1"/>
      <c r="AW1"/>
      <c r="AX1"/>
      <c r="AY1"/>
      <c r="AZ1"/>
      <c r="BA1"/>
      <c r="BB1"/>
      <c r="BC1"/>
      <c r="BD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3:69" ht="15.75" thickBot="1">
      <c r="C2" s="508"/>
      <c r="D2" s="508"/>
      <c r="E2" s="508"/>
      <c r="F2" s="508"/>
      <c r="G2" s="508"/>
      <c r="H2" s="508"/>
      <c r="I2" s="508"/>
      <c r="J2" s="508"/>
      <c r="K2" s="509"/>
      <c r="L2" s="509"/>
      <c r="M2" s="509"/>
      <c r="N2" s="509"/>
      <c r="O2" s="509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08"/>
      <c r="AB2" s="508"/>
      <c r="AC2" s="508"/>
      <c r="AD2" s="509"/>
      <c r="AE2" s="509"/>
      <c r="AF2" s="509"/>
      <c r="AG2" s="509"/>
      <c r="AH2" s="509"/>
      <c r="AI2" s="509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3:69" ht="18.75">
      <c r="C3" s="508"/>
      <c r="D3" s="638" t="s">
        <v>339</v>
      </c>
      <c r="E3" s="639"/>
      <c r="F3" s="639"/>
      <c r="G3" s="639"/>
      <c r="H3" s="639"/>
      <c r="I3" s="639"/>
      <c r="J3" s="640"/>
      <c r="K3" s="620"/>
      <c r="L3" s="641" t="s">
        <v>359</v>
      </c>
      <c r="M3" s="642"/>
      <c r="N3" s="642"/>
      <c r="O3" s="642"/>
      <c r="P3" s="642"/>
      <c r="Q3" s="642"/>
      <c r="R3" s="643"/>
      <c r="S3" s="509"/>
      <c r="T3" s="641" t="s">
        <v>358</v>
      </c>
      <c r="U3" s="642"/>
      <c r="V3" s="642"/>
      <c r="W3" s="642"/>
      <c r="X3" s="642"/>
      <c r="Y3" s="642"/>
      <c r="Z3" s="643"/>
      <c r="AA3" s="508"/>
      <c r="AB3" s="641" t="s">
        <v>357</v>
      </c>
      <c r="AC3" s="642"/>
      <c r="AD3" s="642"/>
      <c r="AE3" s="642"/>
      <c r="AF3" s="642"/>
      <c r="AG3" s="642"/>
      <c r="AH3" s="643"/>
      <c r="AI3" s="509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3:69" ht="21">
      <c r="C4" s="508"/>
      <c r="D4" s="624"/>
      <c r="E4" s="625"/>
      <c r="F4" s="623" t="s">
        <v>361</v>
      </c>
      <c r="G4" s="625"/>
      <c r="H4" s="625"/>
      <c r="I4" s="508"/>
      <c r="J4" s="511"/>
      <c r="K4" s="509"/>
      <c r="L4" s="513"/>
      <c r="M4" s="509"/>
      <c r="N4" s="509"/>
      <c r="O4" s="509"/>
      <c r="P4" s="509"/>
      <c r="Q4" s="509"/>
      <c r="R4" s="512"/>
      <c r="S4" s="509"/>
      <c r="T4" s="513"/>
      <c r="U4" s="509"/>
      <c r="V4" s="509"/>
      <c r="W4" s="509"/>
      <c r="X4" s="509"/>
      <c r="Y4" s="509"/>
      <c r="Z4" s="512"/>
      <c r="AA4" s="508"/>
      <c r="AB4" s="510"/>
      <c r="AC4" s="508"/>
      <c r="AD4" s="508"/>
      <c r="AE4" s="508"/>
      <c r="AF4" s="509"/>
      <c r="AG4" s="509"/>
      <c r="AH4" s="512"/>
      <c r="AI4" s="509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3:69">
      <c r="C5" s="508"/>
      <c r="D5" s="510"/>
      <c r="E5" s="508"/>
      <c r="F5" s="508"/>
      <c r="G5" s="508"/>
      <c r="H5" s="508"/>
      <c r="I5" s="508"/>
      <c r="J5" s="511"/>
      <c r="K5" s="509"/>
      <c r="L5" s="513"/>
      <c r="M5" s="509"/>
      <c r="N5" s="509"/>
      <c r="O5" s="509"/>
      <c r="P5" s="509"/>
      <c r="Q5" s="509"/>
      <c r="R5" s="512"/>
      <c r="S5" s="509"/>
      <c r="T5" s="513"/>
      <c r="U5" s="509"/>
      <c r="V5" s="509"/>
      <c r="W5" s="509"/>
      <c r="X5" s="509"/>
      <c r="Y5" s="509"/>
      <c r="Z5" s="512"/>
      <c r="AA5" s="508"/>
      <c r="AB5" s="510"/>
      <c r="AC5" s="508"/>
      <c r="AD5" s="508"/>
      <c r="AE5" s="508"/>
      <c r="AF5" s="509"/>
      <c r="AG5" s="509"/>
      <c r="AH5" s="512"/>
      <c r="AI5" s="509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3:69">
      <c r="C6" s="508"/>
      <c r="D6" s="510"/>
      <c r="E6" s="508"/>
      <c r="F6" s="508"/>
      <c r="G6" s="508"/>
      <c r="H6" s="508"/>
      <c r="I6" s="508"/>
      <c r="J6" s="511"/>
      <c r="K6" s="509"/>
      <c r="L6" s="513"/>
      <c r="M6" s="509"/>
      <c r="N6" s="509"/>
      <c r="O6" s="509"/>
      <c r="P6" s="509"/>
      <c r="Q6" s="509"/>
      <c r="R6" s="512"/>
      <c r="S6" s="509"/>
      <c r="T6" s="513"/>
      <c r="U6" s="509"/>
      <c r="V6" s="509"/>
      <c r="W6" s="509"/>
      <c r="X6" s="509"/>
      <c r="Y6" s="509"/>
      <c r="Z6" s="512"/>
      <c r="AA6" s="508"/>
      <c r="AB6" s="510"/>
      <c r="AC6" s="508"/>
      <c r="AD6" s="508"/>
      <c r="AE6" s="508"/>
      <c r="AF6" s="509"/>
      <c r="AG6" s="509"/>
      <c r="AH6" s="512"/>
      <c r="AI6" s="509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3:69" ht="18.75">
      <c r="C7" s="508"/>
      <c r="D7" s="510"/>
      <c r="E7" s="508"/>
      <c r="F7" s="508"/>
      <c r="G7" s="508"/>
      <c r="H7" s="508"/>
      <c r="I7" s="508"/>
      <c r="J7" s="511"/>
      <c r="K7" s="509"/>
      <c r="L7" s="513"/>
      <c r="M7" s="509"/>
      <c r="N7" s="509"/>
      <c r="O7" s="509"/>
      <c r="P7" s="509"/>
      <c r="Q7" s="509"/>
      <c r="R7" s="512"/>
      <c r="S7" s="509"/>
      <c r="T7" s="644"/>
      <c r="U7" s="645"/>
      <c r="V7" s="645"/>
      <c r="W7" s="645"/>
      <c r="X7" s="645"/>
      <c r="Y7" s="645"/>
      <c r="Z7" s="646"/>
      <c r="AA7" s="508"/>
      <c r="AB7" s="510"/>
      <c r="AC7" s="508"/>
      <c r="AD7" s="508"/>
      <c r="AE7" s="508"/>
      <c r="AF7" s="509"/>
      <c r="AG7" s="509"/>
      <c r="AH7" s="512"/>
      <c r="AI7" s="509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3:69">
      <c r="C8" s="508"/>
      <c r="D8" s="510"/>
      <c r="E8" s="508"/>
      <c r="F8" s="508"/>
      <c r="G8" s="508"/>
      <c r="H8" s="508"/>
      <c r="I8" s="508"/>
      <c r="J8" s="511"/>
      <c r="K8" s="509"/>
      <c r="L8" s="513"/>
      <c r="M8" s="509"/>
      <c r="N8" s="509"/>
      <c r="O8" s="509"/>
      <c r="P8" s="509"/>
      <c r="Q8" s="509"/>
      <c r="R8" s="512"/>
      <c r="S8" s="509"/>
      <c r="T8" s="513"/>
      <c r="U8" s="509"/>
      <c r="V8" s="509"/>
      <c r="W8" s="509"/>
      <c r="X8" s="509"/>
      <c r="Y8" s="509"/>
      <c r="Z8" s="512"/>
      <c r="AA8" s="508"/>
      <c r="AB8" s="510"/>
      <c r="AC8" s="508"/>
      <c r="AD8" s="508"/>
      <c r="AE8" s="508"/>
      <c r="AF8" s="509"/>
      <c r="AG8" s="509"/>
      <c r="AH8" s="512"/>
      <c r="AI8" s="509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3:69" ht="21">
      <c r="C9" s="508"/>
      <c r="D9" s="510"/>
      <c r="E9" s="508"/>
      <c r="F9" s="508"/>
      <c r="G9" s="508"/>
      <c r="H9" s="508"/>
      <c r="I9" s="508"/>
      <c r="J9" s="511"/>
      <c r="K9" s="509"/>
      <c r="L9" s="513"/>
      <c r="M9" s="509"/>
      <c r="N9" s="509"/>
      <c r="O9" s="509"/>
      <c r="P9" s="509"/>
      <c r="Q9" s="509"/>
      <c r="R9" s="512"/>
      <c r="S9" s="509"/>
      <c r="T9" s="513"/>
      <c r="U9" s="509"/>
      <c r="V9" s="622" t="s">
        <v>286</v>
      </c>
      <c r="W9" s="509"/>
      <c r="X9" s="509"/>
      <c r="Y9" s="509"/>
      <c r="Z9" s="512"/>
      <c r="AA9" s="508"/>
      <c r="AB9" s="510"/>
      <c r="AC9" s="508"/>
      <c r="AD9" s="508"/>
      <c r="AE9" s="508"/>
      <c r="AF9" s="509"/>
      <c r="AG9" s="509"/>
      <c r="AH9" s="512"/>
      <c r="AI9" s="509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3:69">
      <c r="C10" s="508"/>
      <c r="D10" s="510"/>
      <c r="E10" s="508"/>
      <c r="F10" s="508"/>
      <c r="G10" s="508"/>
      <c r="H10" s="508"/>
      <c r="I10" s="508"/>
      <c r="J10" s="511"/>
      <c r="K10" s="509"/>
      <c r="L10" s="513"/>
      <c r="M10" s="509"/>
      <c r="N10" s="509"/>
      <c r="O10" s="509"/>
      <c r="P10" s="509"/>
      <c r="Q10" s="509"/>
      <c r="R10" s="512"/>
      <c r="S10" s="509"/>
      <c r="T10" s="513"/>
      <c r="U10" s="509"/>
      <c r="V10" s="509"/>
      <c r="W10" s="509"/>
      <c r="X10" s="509"/>
      <c r="Y10" s="509"/>
      <c r="Z10" s="512"/>
      <c r="AA10" s="508"/>
      <c r="AB10" s="510"/>
      <c r="AC10" s="508"/>
      <c r="AD10" s="508"/>
      <c r="AE10" s="508"/>
      <c r="AF10" s="509"/>
      <c r="AG10" s="509"/>
      <c r="AH10" s="512"/>
      <c r="AI10" s="509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3:69">
      <c r="C11" s="508"/>
      <c r="D11" s="510"/>
      <c r="E11" s="508"/>
      <c r="F11" s="508"/>
      <c r="G11" s="508"/>
      <c r="H11" s="508"/>
      <c r="I11" s="508"/>
      <c r="J11" s="511"/>
      <c r="K11" s="509"/>
      <c r="L11" s="513"/>
      <c r="M11" s="509"/>
      <c r="N11" s="509"/>
      <c r="O11" s="509"/>
      <c r="P11" s="509"/>
      <c r="Q11" s="509"/>
      <c r="R11" s="512"/>
      <c r="S11" s="509"/>
      <c r="T11" s="513"/>
      <c r="U11" s="509"/>
      <c r="V11" s="509"/>
      <c r="W11" s="509"/>
      <c r="X11" s="509"/>
      <c r="Y11" s="509"/>
      <c r="Z11" s="512"/>
      <c r="AA11" s="508"/>
      <c r="AB11" s="510"/>
      <c r="AC11" s="508"/>
      <c r="AD11" s="508"/>
      <c r="AE11" s="508"/>
      <c r="AF11" s="509"/>
      <c r="AG11" s="509"/>
      <c r="AH11" s="512"/>
      <c r="AI11" s="509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3:69" ht="21">
      <c r="C12" s="508"/>
      <c r="D12" s="510"/>
      <c r="E12" s="508"/>
      <c r="F12" s="508"/>
      <c r="G12" s="508"/>
      <c r="H12" s="508"/>
      <c r="I12" s="508"/>
      <c r="J12" s="511"/>
      <c r="K12" s="509"/>
      <c r="L12" s="513"/>
      <c r="M12" s="509"/>
      <c r="N12" s="621" t="s">
        <v>360</v>
      </c>
      <c r="O12" s="509"/>
      <c r="P12" s="509"/>
      <c r="Q12" s="509"/>
      <c r="R12" s="512"/>
      <c r="S12" s="509"/>
      <c r="T12" s="644"/>
      <c r="U12" s="645"/>
      <c r="V12" s="645"/>
      <c r="W12" s="645"/>
      <c r="X12" s="645"/>
      <c r="Y12" s="645"/>
      <c r="Z12" s="646"/>
      <c r="AA12" s="508"/>
      <c r="AB12" s="510"/>
      <c r="AC12" s="508"/>
      <c r="AD12" s="508"/>
      <c r="AE12" s="508"/>
      <c r="AF12" s="509"/>
      <c r="AG12" s="509"/>
      <c r="AH12" s="512"/>
      <c r="AI12" s="509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3:69">
      <c r="C13" s="508"/>
      <c r="D13" s="510"/>
      <c r="E13" s="508"/>
      <c r="F13" s="508"/>
      <c r="G13" s="508"/>
      <c r="H13" s="508"/>
      <c r="I13" s="508"/>
      <c r="J13" s="511"/>
      <c r="K13" s="509"/>
      <c r="L13" s="513"/>
      <c r="M13" s="509"/>
      <c r="N13" s="509"/>
      <c r="O13" s="509"/>
      <c r="P13" s="509"/>
      <c r="Q13" s="509"/>
      <c r="R13" s="512"/>
      <c r="S13" s="509"/>
      <c r="T13" s="513"/>
      <c r="U13" s="509"/>
      <c r="V13" s="509"/>
      <c r="W13" s="509"/>
      <c r="X13" s="509"/>
      <c r="Y13" s="509"/>
      <c r="Z13" s="512"/>
      <c r="AA13" s="508"/>
      <c r="AB13" s="510"/>
      <c r="AC13" s="508"/>
      <c r="AD13" s="508"/>
      <c r="AE13" s="508"/>
      <c r="AF13" s="509"/>
      <c r="AG13" s="509"/>
      <c r="AH13" s="512"/>
      <c r="AI13" s="509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3:69">
      <c r="C14" s="508"/>
      <c r="D14" s="510"/>
      <c r="E14" s="508"/>
      <c r="F14" s="508"/>
      <c r="G14" s="508"/>
      <c r="H14" s="508"/>
      <c r="I14" s="508"/>
      <c r="J14" s="511"/>
      <c r="K14" s="509"/>
      <c r="L14" s="513"/>
      <c r="M14" s="509"/>
      <c r="N14" s="509"/>
      <c r="O14" s="509"/>
      <c r="P14" s="509"/>
      <c r="Q14" s="509"/>
      <c r="R14" s="512"/>
      <c r="S14" s="509"/>
      <c r="T14" s="513"/>
      <c r="U14" s="509"/>
      <c r="V14" s="509"/>
      <c r="W14" s="509"/>
      <c r="X14" s="509"/>
      <c r="Y14" s="509"/>
      <c r="Z14" s="512"/>
      <c r="AA14" s="508"/>
      <c r="AB14" s="510"/>
      <c r="AC14" s="508"/>
      <c r="AD14" s="508"/>
      <c r="AE14" s="508"/>
      <c r="AF14" s="509"/>
      <c r="AG14" s="509"/>
      <c r="AH14" s="512"/>
      <c r="AI14" s="509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3:69">
      <c r="C15" s="508"/>
      <c r="D15" s="510"/>
      <c r="E15" s="508"/>
      <c r="F15" s="508"/>
      <c r="G15" s="508"/>
      <c r="H15" s="508"/>
      <c r="I15" s="508"/>
      <c r="J15" s="511"/>
      <c r="K15" s="509"/>
      <c r="L15" s="513"/>
      <c r="M15" s="509"/>
      <c r="N15" s="509"/>
      <c r="O15" s="509"/>
      <c r="P15" s="509"/>
      <c r="Q15" s="509"/>
      <c r="R15" s="512"/>
      <c r="S15" s="509"/>
      <c r="T15" s="513"/>
      <c r="U15" s="509"/>
      <c r="V15" s="509"/>
      <c r="W15" s="509"/>
      <c r="X15" s="509"/>
      <c r="Y15" s="509"/>
      <c r="Z15" s="512"/>
      <c r="AA15" s="508"/>
      <c r="AB15" s="510"/>
      <c r="AC15" s="508"/>
      <c r="AD15" s="508"/>
      <c r="AE15" s="508"/>
      <c r="AF15" s="509"/>
      <c r="AG15" s="509"/>
      <c r="AH15" s="512"/>
      <c r="AI15" s="509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</row>
    <row r="16" spans="3:69">
      <c r="C16" s="509"/>
      <c r="D16" s="513"/>
      <c r="E16" s="509"/>
      <c r="F16" s="509"/>
      <c r="G16" s="509"/>
      <c r="H16" s="509"/>
      <c r="I16" s="509"/>
      <c r="J16" s="512"/>
      <c r="K16" s="509"/>
      <c r="L16" s="513"/>
      <c r="M16" s="509"/>
      <c r="N16" s="509"/>
      <c r="O16" s="509"/>
      <c r="P16" s="509"/>
      <c r="Q16" s="509"/>
      <c r="R16" s="512"/>
      <c r="S16" s="509"/>
      <c r="T16" s="513"/>
      <c r="U16" s="509"/>
      <c r="V16" s="509"/>
      <c r="W16" s="509"/>
      <c r="X16" s="509"/>
      <c r="Y16" s="509"/>
      <c r="Z16" s="512"/>
      <c r="AA16" s="509"/>
      <c r="AB16" s="513"/>
      <c r="AC16" s="509"/>
      <c r="AD16" s="509"/>
      <c r="AE16" s="509"/>
      <c r="AF16" s="509"/>
      <c r="AG16" s="509"/>
      <c r="AH16" s="512"/>
      <c r="AI16" s="509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</row>
    <row r="17" spans="3:69">
      <c r="C17" s="509"/>
      <c r="D17" s="513"/>
      <c r="E17" s="509"/>
      <c r="F17" s="509"/>
      <c r="G17" s="509"/>
      <c r="H17" s="509"/>
      <c r="I17" s="509"/>
      <c r="J17" s="512"/>
      <c r="K17" s="509"/>
      <c r="L17" s="513"/>
      <c r="M17" s="509"/>
      <c r="N17" s="509"/>
      <c r="O17" s="509"/>
      <c r="P17" s="509"/>
      <c r="Q17" s="509"/>
      <c r="R17" s="512"/>
      <c r="S17" s="509"/>
      <c r="T17" s="513"/>
      <c r="U17" s="509"/>
      <c r="V17" s="509"/>
      <c r="W17" s="509"/>
      <c r="X17" s="509"/>
      <c r="Y17" s="509"/>
      <c r="Z17" s="512"/>
      <c r="AA17" s="509"/>
      <c r="AB17" s="513"/>
      <c r="AC17" s="509"/>
      <c r="AD17" s="509"/>
      <c r="AE17" s="509"/>
      <c r="AF17" s="509"/>
      <c r="AG17" s="509"/>
      <c r="AH17" s="512"/>
      <c r="AI17" s="509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</row>
    <row r="18" spans="3:69">
      <c r="C18" s="509"/>
      <c r="D18" s="513"/>
      <c r="E18" s="509"/>
      <c r="F18" s="509"/>
      <c r="G18" s="509"/>
      <c r="H18" s="509"/>
      <c r="I18" s="509"/>
      <c r="J18" s="512"/>
      <c r="K18" s="509"/>
      <c r="L18" s="513"/>
      <c r="M18" s="509"/>
      <c r="N18" s="509"/>
      <c r="O18" s="509"/>
      <c r="P18" s="509"/>
      <c r="Q18" s="509"/>
      <c r="R18" s="512"/>
      <c r="S18" s="509"/>
      <c r="T18" s="513"/>
      <c r="U18" s="509"/>
      <c r="V18" s="509"/>
      <c r="W18" s="509"/>
      <c r="X18" s="509"/>
      <c r="Y18" s="509"/>
      <c r="Z18" s="512"/>
      <c r="AA18" s="509"/>
      <c r="AB18" s="513"/>
      <c r="AC18" s="509"/>
      <c r="AD18" s="509"/>
      <c r="AE18" s="509"/>
      <c r="AF18" s="509"/>
      <c r="AG18" s="509"/>
      <c r="AH18" s="512"/>
      <c r="AI18" s="509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</row>
    <row r="19" spans="3:69" ht="15.75" thickBot="1">
      <c r="C19" s="509"/>
      <c r="D19" s="514"/>
      <c r="E19" s="515"/>
      <c r="F19" s="515"/>
      <c r="G19" s="515"/>
      <c r="H19" s="515"/>
      <c r="I19" s="515"/>
      <c r="J19" s="516"/>
      <c r="K19" s="509"/>
      <c r="L19" s="514"/>
      <c r="M19" s="515"/>
      <c r="N19" s="515"/>
      <c r="O19" s="515"/>
      <c r="P19" s="515"/>
      <c r="Q19" s="515"/>
      <c r="R19" s="516"/>
      <c r="S19" s="509"/>
      <c r="T19" s="514"/>
      <c r="U19" s="515"/>
      <c r="V19" s="515"/>
      <c r="W19" s="515"/>
      <c r="X19" s="515"/>
      <c r="Y19" s="515"/>
      <c r="Z19" s="516"/>
      <c r="AA19" s="509"/>
      <c r="AB19" s="514"/>
      <c r="AC19" s="515"/>
      <c r="AD19" s="515"/>
      <c r="AE19" s="515"/>
      <c r="AF19" s="515"/>
      <c r="AG19" s="515"/>
      <c r="AH19" s="516"/>
      <c r="AI19" s="509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</row>
    <row r="20" spans="3:69">
      <c r="C20" s="508"/>
      <c r="D20" s="508"/>
      <c r="E20" s="508"/>
      <c r="F20" s="508"/>
      <c r="G20" s="508"/>
      <c r="H20" s="508"/>
      <c r="I20" s="508"/>
      <c r="J20" s="508"/>
      <c r="K20" s="509"/>
      <c r="L20" s="509"/>
      <c r="M20" s="509"/>
      <c r="N20" s="509"/>
      <c r="O20" s="509"/>
      <c r="P20" s="509"/>
      <c r="Q20" s="509"/>
      <c r="R20" s="509"/>
      <c r="S20" s="509"/>
      <c r="T20" s="509"/>
      <c r="U20" s="509"/>
      <c r="V20" s="509"/>
      <c r="W20" s="509"/>
      <c r="X20" s="509"/>
      <c r="Y20" s="509"/>
      <c r="Z20" s="509"/>
      <c r="AA20" s="508"/>
      <c r="AB20" s="508"/>
      <c r="AC20" s="508"/>
      <c r="AD20" s="509"/>
      <c r="AE20" s="509"/>
      <c r="AF20" s="509"/>
      <c r="AG20" s="509"/>
      <c r="AH20" s="509"/>
      <c r="AI20" s="509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</row>
    <row r="21" spans="3:69">
      <c r="K21" s="1"/>
      <c r="L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</row>
    <row r="22" spans="3:69">
      <c r="L22" s="634" t="s">
        <v>303</v>
      </c>
      <c r="M22" s="634"/>
      <c r="N22" s="634"/>
      <c r="P22" s="634" t="s">
        <v>304</v>
      </c>
      <c r="Q22" s="634"/>
      <c r="R22" s="634"/>
      <c r="T22" s="634" t="s">
        <v>305</v>
      </c>
      <c r="U22" s="634"/>
      <c r="V22" s="634"/>
      <c r="X22" s="634" t="s">
        <v>306</v>
      </c>
      <c r="Y22" s="634"/>
      <c r="Z22" s="634"/>
      <c r="AY22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</row>
    <row r="23" spans="3:69">
      <c r="L23" s="635">
        <v>0.33</v>
      </c>
      <c r="M23" s="635"/>
      <c r="N23" s="635"/>
      <c r="P23" s="635">
        <v>0.4</v>
      </c>
      <c r="Q23" s="635"/>
      <c r="R23" s="635"/>
      <c r="T23" s="635">
        <v>0.45</v>
      </c>
      <c r="U23" s="635"/>
      <c r="V23" s="635"/>
      <c r="X23" s="635">
        <v>0.5</v>
      </c>
      <c r="Y23" s="635"/>
      <c r="Z23" s="635"/>
      <c r="AY23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</row>
    <row r="24" spans="3:69" ht="15.75">
      <c r="D24" s="636" t="s">
        <v>307</v>
      </c>
      <c r="E24" s="636"/>
      <c r="F24" s="636"/>
      <c r="G24" s="636"/>
      <c r="H24" s="636"/>
      <c r="I24" s="636"/>
      <c r="J24" s="636"/>
      <c r="K24" s="637"/>
      <c r="L24" s="629">
        <v>5</v>
      </c>
      <c r="M24" s="629"/>
      <c r="N24" s="629"/>
      <c r="P24" s="629">
        <v>15</v>
      </c>
      <c r="Q24" s="629"/>
      <c r="R24" s="629"/>
      <c r="T24" s="629">
        <v>5</v>
      </c>
      <c r="U24" s="629"/>
      <c r="V24" s="629"/>
      <c r="X24" s="629">
        <v>5</v>
      </c>
      <c r="Y24" s="629"/>
      <c r="Z24" s="629"/>
      <c r="AY24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</row>
    <row r="25" spans="3:69" ht="15.75">
      <c r="D25" s="636" t="s">
        <v>308</v>
      </c>
      <c r="E25" s="636"/>
      <c r="F25" s="636"/>
      <c r="G25" s="636"/>
      <c r="H25" s="636"/>
      <c r="I25" s="636"/>
      <c r="J25" s="636"/>
      <c r="K25" s="637"/>
      <c r="L25" s="633">
        <v>5000</v>
      </c>
      <c r="M25" s="633"/>
      <c r="N25" s="633"/>
      <c r="P25" s="633">
        <v>10000</v>
      </c>
      <c r="Q25" s="633"/>
      <c r="R25" s="633"/>
      <c r="T25" s="633">
        <v>5000</v>
      </c>
      <c r="U25" s="633"/>
      <c r="V25" s="633"/>
      <c r="X25" s="633">
        <v>5000</v>
      </c>
      <c r="Y25" s="633"/>
      <c r="Z25" s="633"/>
      <c r="AY25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</row>
    <row r="26" spans="3:69" ht="15.75">
      <c r="D26" s="636" t="s">
        <v>309</v>
      </c>
      <c r="E26" s="636"/>
      <c r="F26" s="636"/>
      <c r="G26" s="636"/>
      <c r="H26" s="636"/>
      <c r="I26" s="636"/>
      <c r="J26" s="636"/>
      <c r="K26" s="637"/>
      <c r="L26" s="632">
        <f>L25/L24</f>
        <v>1000</v>
      </c>
      <c r="M26" s="632"/>
      <c r="N26" s="632"/>
      <c r="P26" s="632">
        <f>P25/P24</f>
        <v>666.66666666666663</v>
      </c>
      <c r="Q26" s="632"/>
      <c r="R26" s="632"/>
      <c r="T26" s="632">
        <f>T25/T24</f>
        <v>1000</v>
      </c>
      <c r="U26" s="632"/>
      <c r="V26" s="632"/>
      <c r="X26" s="632">
        <f>X25/X24</f>
        <v>1000</v>
      </c>
      <c r="Y26" s="632"/>
      <c r="Z26" s="632"/>
      <c r="AY26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</row>
    <row r="27" spans="3:69">
      <c r="D27" s="507"/>
      <c r="E27" s="506"/>
      <c r="F27" s="506"/>
      <c r="G27" s="506"/>
      <c r="H27" s="506"/>
      <c r="I27" s="506"/>
      <c r="J27" s="506"/>
      <c r="K27" s="506"/>
      <c r="L27" s="1"/>
      <c r="AH27"/>
      <c r="BE27" s="1"/>
      <c r="BF27" s="1"/>
      <c r="BH27" s="1"/>
      <c r="BI27" s="1"/>
      <c r="BJ27" s="1"/>
      <c r="BK27" s="1"/>
      <c r="BL27" s="1"/>
      <c r="BM27" s="1"/>
      <c r="BN27" s="1"/>
      <c r="BO27" s="1"/>
      <c r="BP27" s="1"/>
      <c r="BQ27" s="1"/>
    </row>
    <row r="28" spans="3:69" ht="15.75">
      <c r="D28" s="636" t="s">
        <v>310</v>
      </c>
      <c r="E28" s="636"/>
      <c r="F28" s="636"/>
      <c r="G28" s="636"/>
      <c r="H28" s="636"/>
      <c r="I28" s="636"/>
      <c r="J28" s="636"/>
      <c r="K28" s="637"/>
      <c r="L28" s="629">
        <v>10</v>
      </c>
      <c r="M28" s="629"/>
      <c r="N28" s="629"/>
      <c r="P28" s="629">
        <v>97.86</v>
      </c>
      <c r="Q28" s="629"/>
      <c r="R28" s="629"/>
      <c r="T28" s="629">
        <v>10</v>
      </c>
      <c r="U28" s="629"/>
      <c r="V28" s="629"/>
      <c r="X28" s="629">
        <v>10</v>
      </c>
      <c r="Y28" s="629"/>
      <c r="Z28" s="629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3:69" ht="15.75">
      <c r="D29" s="636" t="s">
        <v>311</v>
      </c>
      <c r="E29" s="636"/>
      <c r="F29" s="636"/>
      <c r="G29" s="636"/>
      <c r="H29" s="636"/>
      <c r="I29" s="636"/>
      <c r="J29" s="636"/>
      <c r="K29" s="637"/>
      <c r="L29" s="632">
        <f>L26*(L28*0.66)</f>
        <v>6600.0000000000009</v>
      </c>
      <c r="M29" s="632"/>
      <c r="N29" s="632"/>
      <c r="P29" s="632">
        <f>P26*(P28*0.8)</f>
        <v>52192.000000000007</v>
      </c>
      <c r="Q29" s="632"/>
      <c r="R29" s="632"/>
      <c r="T29" s="632">
        <f>T26*(T28*0.9)</f>
        <v>9000</v>
      </c>
      <c r="U29" s="632"/>
      <c r="V29" s="632"/>
      <c r="X29" s="632">
        <f>X26*X28</f>
        <v>10000</v>
      </c>
      <c r="Y29" s="632"/>
      <c r="Z29" s="632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3:69">
      <c r="D30" s="507"/>
      <c r="E30" s="506"/>
      <c r="F30" s="506"/>
      <c r="G30" s="506"/>
      <c r="H30" s="506"/>
      <c r="I30" s="506"/>
      <c r="J30" s="506"/>
      <c r="K30" s="506"/>
      <c r="L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3:69" ht="15.75">
      <c r="D31" s="636" t="s">
        <v>312</v>
      </c>
      <c r="E31" s="636"/>
      <c r="F31" s="636"/>
      <c r="G31" s="636"/>
      <c r="H31" s="636"/>
      <c r="I31" s="636"/>
      <c r="J31" s="636"/>
      <c r="K31" s="637"/>
      <c r="L31" s="633">
        <v>162051</v>
      </c>
      <c r="M31" s="633"/>
      <c r="N31" s="633"/>
      <c r="P31" s="633">
        <v>106700</v>
      </c>
      <c r="Q31" s="633"/>
      <c r="R31" s="633"/>
      <c r="T31" s="633">
        <v>162051</v>
      </c>
      <c r="U31" s="633"/>
      <c r="V31" s="633"/>
      <c r="X31" s="633">
        <v>162051</v>
      </c>
      <c r="Y31" s="633"/>
      <c r="Z31" s="633"/>
    </row>
    <row r="32" spans="3:69" ht="15.75">
      <c r="D32" s="636" t="s">
        <v>313</v>
      </c>
      <c r="E32" s="636"/>
      <c r="F32" s="636"/>
      <c r="G32" s="636"/>
      <c r="H32" s="636"/>
      <c r="I32" s="636"/>
      <c r="J32" s="636"/>
      <c r="K32" s="637"/>
      <c r="L32" s="633">
        <v>130551</v>
      </c>
      <c r="M32" s="633"/>
      <c r="N32" s="633"/>
      <c r="P32" s="633">
        <v>77700</v>
      </c>
      <c r="Q32" s="633"/>
      <c r="R32" s="633"/>
      <c r="T32" s="633">
        <v>130551</v>
      </c>
      <c r="U32" s="633"/>
      <c r="V32" s="633"/>
      <c r="X32" s="633">
        <v>130551</v>
      </c>
      <c r="Y32" s="633"/>
      <c r="Z32" s="633"/>
    </row>
    <row r="33" spans="4:26" ht="15.75">
      <c r="D33" s="636" t="s">
        <v>314</v>
      </c>
      <c r="E33" s="636"/>
      <c r="F33" s="636"/>
      <c r="G33" s="636"/>
      <c r="H33" s="636"/>
      <c r="I33" s="636"/>
      <c r="J33" s="636"/>
      <c r="K33" s="637"/>
      <c r="L33" s="632">
        <f>L31+L29</f>
        <v>168651</v>
      </c>
      <c r="M33" s="632"/>
      <c r="N33" s="632"/>
      <c r="P33" s="632">
        <f>P31+P29</f>
        <v>158892</v>
      </c>
      <c r="Q33" s="632"/>
      <c r="R33" s="632"/>
      <c r="T33" s="632">
        <f>T31+T29</f>
        <v>171051</v>
      </c>
      <c r="U33" s="632"/>
      <c r="V33" s="632"/>
      <c r="X33" s="632">
        <f>X31+X29</f>
        <v>172051</v>
      </c>
      <c r="Y33" s="632"/>
      <c r="Z33" s="632"/>
    </row>
    <row r="34" spans="4:26" ht="15.75">
      <c r="D34" s="636" t="s">
        <v>315</v>
      </c>
      <c r="E34" s="636"/>
      <c r="F34" s="636"/>
      <c r="G34" s="636"/>
      <c r="H34" s="636"/>
      <c r="I34" s="636"/>
      <c r="J34" s="636"/>
      <c r="K34" s="637"/>
      <c r="L34" s="631">
        <f>L33/L32</f>
        <v>1.2918399705862076</v>
      </c>
      <c r="M34" s="631"/>
      <c r="N34" s="631"/>
      <c r="P34" s="631">
        <f>P33/P32</f>
        <v>2.0449420849420847</v>
      </c>
      <c r="Q34" s="631"/>
      <c r="R34" s="631"/>
      <c r="T34" s="631">
        <f>T33/T32</f>
        <v>1.3102235907806146</v>
      </c>
      <c r="U34" s="631"/>
      <c r="V34" s="631"/>
      <c r="X34" s="631">
        <f>X33/X32</f>
        <v>1.317883432528284</v>
      </c>
      <c r="Y34" s="631"/>
      <c r="Z34" s="631"/>
    </row>
    <row r="35" spans="4:26" ht="21.75" customHeight="1">
      <c r="D35" s="636" t="s">
        <v>316</v>
      </c>
      <c r="E35" s="636"/>
      <c r="F35" s="636"/>
      <c r="G35" s="636"/>
      <c r="H35" s="636"/>
      <c r="I35" s="636"/>
      <c r="J35" s="636"/>
      <c r="K35" s="637"/>
      <c r="L35" s="630">
        <f>100/(L34+1)/100</f>
        <v>0.43633063950107293</v>
      </c>
      <c r="M35" s="630"/>
      <c r="N35" s="630"/>
      <c r="P35" s="630">
        <f>100/(P34+1)/100</f>
        <v>0.32841347129235138</v>
      </c>
      <c r="Q35" s="630"/>
      <c r="R35" s="630"/>
      <c r="T35" s="630">
        <f>100/(T34+1)/100</f>
        <v>0.43285853542085273</v>
      </c>
      <c r="U35" s="630"/>
      <c r="V35" s="630"/>
      <c r="X35" s="630">
        <f>100/(X34+1)/100</f>
        <v>0.43142808044890651</v>
      </c>
      <c r="Y35" s="630"/>
      <c r="Z35" s="630"/>
    </row>
  </sheetData>
  <sheetProtection formatCells="0" formatColumns="0" formatRows="0" insertColumns="0" insertRows="0" insertHyperlinks="0" deleteColumns="0" deleteRows="0" sort="0" autoFilter="0" pivotTables="0"/>
  <mergeCells count="64">
    <mergeCell ref="D29:K29"/>
    <mergeCell ref="T12:Z12"/>
    <mergeCell ref="D24:K24"/>
    <mergeCell ref="D25:K25"/>
    <mergeCell ref="D26:K26"/>
    <mergeCell ref="D28:K28"/>
    <mergeCell ref="L28:N28"/>
    <mergeCell ref="L29:N29"/>
    <mergeCell ref="T26:V26"/>
    <mergeCell ref="T25:V25"/>
    <mergeCell ref="T24:V24"/>
    <mergeCell ref="T23:V23"/>
    <mergeCell ref="T22:V22"/>
    <mergeCell ref="X29:Z29"/>
    <mergeCell ref="X26:Z26"/>
    <mergeCell ref="T29:V29"/>
    <mergeCell ref="D3:J3"/>
    <mergeCell ref="AB3:AH3"/>
    <mergeCell ref="T3:Z3"/>
    <mergeCell ref="X25:Z25"/>
    <mergeCell ref="X24:Z24"/>
    <mergeCell ref="X23:Z23"/>
    <mergeCell ref="X22:Z22"/>
    <mergeCell ref="T7:Z7"/>
    <mergeCell ref="L3:R3"/>
    <mergeCell ref="D31:K31"/>
    <mergeCell ref="D32:K32"/>
    <mergeCell ref="D33:K33"/>
    <mergeCell ref="D34:K34"/>
    <mergeCell ref="D35:K35"/>
    <mergeCell ref="L31:N31"/>
    <mergeCell ref="L32:N32"/>
    <mergeCell ref="L22:N22"/>
    <mergeCell ref="L23:N23"/>
    <mergeCell ref="L24:N24"/>
    <mergeCell ref="L25:N25"/>
    <mergeCell ref="L33:N33"/>
    <mergeCell ref="L34:N34"/>
    <mergeCell ref="L35:N35"/>
    <mergeCell ref="P22:R22"/>
    <mergeCell ref="P23:R23"/>
    <mergeCell ref="P24:R24"/>
    <mergeCell ref="P25:R25"/>
    <mergeCell ref="P26:R26"/>
    <mergeCell ref="P28:R28"/>
    <mergeCell ref="P29:R29"/>
    <mergeCell ref="P35:R35"/>
    <mergeCell ref="P34:R34"/>
    <mergeCell ref="P33:R33"/>
    <mergeCell ref="P32:R32"/>
    <mergeCell ref="P31:R31"/>
    <mergeCell ref="L26:N26"/>
    <mergeCell ref="T28:V28"/>
    <mergeCell ref="X35:Z35"/>
    <mergeCell ref="X34:Z34"/>
    <mergeCell ref="X33:Z33"/>
    <mergeCell ref="X32:Z32"/>
    <mergeCell ref="X31:Z31"/>
    <mergeCell ref="T35:V35"/>
    <mergeCell ref="T33:V33"/>
    <mergeCell ref="T34:V34"/>
    <mergeCell ref="T32:V32"/>
    <mergeCell ref="T31:V31"/>
    <mergeCell ref="X28:Z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EP">
                <anchor moveWithCells="1" sizeWithCells="1">
                  <from>
                    <xdr:col>3</xdr:col>
                    <xdr:colOff>190500</xdr:colOff>
                    <xdr:row>4</xdr:row>
                    <xdr:rowOff>9525</xdr:rowOff>
                  </from>
                  <to>
                    <xdr:col>9</xdr:col>
                    <xdr:colOff>85725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MP">
                <anchor moveWithCells="1" sizeWithCells="1">
                  <from>
                    <xdr:col>3</xdr:col>
                    <xdr:colOff>200025</xdr:colOff>
                    <xdr:row>6</xdr:row>
                    <xdr:rowOff>190500</xdr:rowOff>
                  </from>
                  <to>
                    <xdr:col>9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RCO">
                <anchor moveWithCells="1" sizeWithCells="1">
                  <from>
                    <xdr:col>3</xdr:col>
                    <xdr:colOff>209550</xdr:colOff>
                    <xdr:row>9</xdr:row>
                    <xdr:rowOff>161925</xdr:rowOff>
                  </from>
                  <to>
                    <xdr:col>9</xdr:col>
                    <xdr:colOff>95250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CallEP">
                <anchor moveWithCells="1" sizeWithCells="1">
                  <from>
                    <xdr:col>27</xdr:col>
                    <xdr:colOff>133350</xdr:colOff>
                    <xdr:row>5</xdr:row>
                    <xdr:rowOff>28575</xdr:rowOff>
                  </from>
                  <to>
                    <xdr:col>33</xdr:col>
                    <xdr:colOff>85725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CallBU">
                <anchor moveWithCells="1" sizeWithCells="1">
                  <from>
                    <xdr:col>28</xdr:col>
                    <xdr:colOff>0</xdr:colOff>
                    <xdr:row>13</xdr:row>
                    <xdr:rowOff>123825</xdr:rowOff>
                  </from>
                  <to>
                    <xdr:col>33</xdr:col>
                    <xdr:colOff>76200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CallCO">
                <anchor moveWithCells="1" sizeWithCells="1">
                  <from>
                    <xdr:col>28</xdr:col>
                    <xdr:colOff>0</xdr:colOff>
                    <xdr:row>8</xdr:row>
                    <xdr:rowOff>257175</xdr:rowOff>
                  </from>
                  <to>
                    <xdr:col>33</xdr:col>
                    <xdr:colOff>95250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0" name="Button 33">
              <controlPr defaultSize="0" print="0" autoFill="0" autoPict="0" macro="[0]!CalResCO">
                <anchor moveWithCells="1" sizeWithCells="1">
                  <from>
                    <xdr:col>3</xdr:col>
                    <xdr:colOff>190500</xdr:colOff>
                    <xdr:row>12</xdr:row>
                    <xdr:rowOff>114300</xdr:rowOff>
                  </from>
                  <to>
                    <xdr:col>9</xdr:col>
                    <xdr:colOff>66675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CalResBU">
                <anchor moveWithCells="1" sizeWithCells="1">
                  <from>
                    <xdr:col>3</xdr:col>
                    <xdr:colOff>190500</xdr:colOff>
                    <xdr:row>15</xdr:row>
                    <xdr:rowOff>114300</xdr:rowOff>
                  </from>
                  <to>
                    <xdr:col>9</xdr:col>
                    <xdr:colOff>66675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12" name="Button 59">
              <controlPr defaultSize="0" print="0" autoFill="0" autoPict="0" macro="[0]!CallSB">
                <anchor moveWithCells="1" sizeWithCells="1">
                  <from>
                    <xdr:col>19</xdr:col>
                    <xdr:colOff>219075</xdr:colOff>
                    <xdr:row>9</xdr:row>
                    <xdr:rowOff>133350</xdr:rowOff>
                  </from>
                  <to>
                    <xdr:col>25</xdr:col>
                    <xdr:colOff>114300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13" name="Button 60">
              <controlPr defaultSize="0" print="0" autoFill="0" autoPict="0" macro="[0]!CallBB">
                <anchor moveWithCells="1" sizeWithCells="1">
                  <from>
                    <xdr:col>19</xdr:col>
                    <xdr:colOff>247650</xdr:colOff>
                    <xdr:row>12</xdr:row>
                    <xdr:rowOff>114300</xdr:rowOff>
                  </from>
                  <to>
                    <xdr:col>25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4" name="Button 74">
              <controlPr defaultSize="0" print="0" autoFill="0" autoPict="0" macro="[0]!CalResEP">
                <anchor moveWithCells="1" sizeWithCells="1">
                  <from>
                    <xdr:col>19</xdr:col>
                    <xdr:colOff>200025</xdr:colOff>
                    <xdr:row>15</xdr:row>
                    <xdr:rowOff>133350</xdr:rowOff>
                  </from>
                  <to>
                    <xdr:col>25</xdr:col>
                    <xdr:colOff>123825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5" name="Button 75">
              <controlPr defaultSize="0" print="0" autoFill="0" autoPict="0" macro="[0]!CalResMP">
                <anchor moveWithCells="1" sizeWithCells="1">
                  <from>
                    <xdr:col>19</xdr:col>
                    <xdr:colOff>152400</xdr:colOff>
                    <xdr:row>4</xdr:row>
                    <xdr:rowOff>57150</xdr:rowOff>
                  </from>
                  <to>
                    <xdr:col>25</xdr:col>
                    <xdr:colOff>66675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Button 82">
              <controlPr defaultSize="0" print="0" autoFill="0" autoPict="0" macro="[0]!PushMP">
                <anchor moveWithCells="1" sizeWithCells="1">
                  <from>
                    <xdr:col>11</xdr:col>
                    <xdr:colOff>247650</xdr:colOff>
                    <xdr:row>3</xdr:row>
                    <xdr:rowOff>152400</xdr:rowOff>
                  </from>
                  <to>
                    <xdr:col>17</xdr:col>
                    <xdr:colOff>114300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7" name="Button 83">
              <controlPr defaultSize="0" print="0" autoFill="0" autoPict="0" macro="[0]!PushCO">
                <anchor moveWithCells="1" sizeWithCells="1">
                  <from>
                    <xdr:col>11</xdr:col>
                    <xdr:colOff>257175</xdr:colOff>
                    <xdr:row>7</xdr:row>
                    <xdr:rowOff>114300</xdr:rowOff>
                  </from>
                  <to>
                    <xdr:col>17</xdr:col>
                    <xdr:colOff>95250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8" name="Button 84">
              <controlPr defaultSize="0" print="0" autoFill="0" autoPict="0" macro="[0]!ResBB">
                <anchor moveWithCells="1" sizeWithCells="1">
                  <from>
                    <xdr:col>12</xdr:col>
                    <xdr:colOff>57150</xdr:colOff>
                    <xdr:row>13</xdr:row>
                    <xdr:rowOff>19050</xdr:rowOff>
                  </from>
                  <to>
                    <xdr:col>17</xdr:col>
                    <xdr:colOff>38100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19" name="Button 85">
              <controlPr defaultSize="0" print="0" autoFill="0" autoPict="0" macro="[0]!PushEP">
                <anchor moveWithCells="1" sizeWithCells="1">
                  <from>
                    <xdr:col>12</xdr:col>
                    <xdr:colOff>95250</xdr:colOff>
                    <xdr:row>16</xdr:row>
                    <xdr:rowOff>9525</xdr:rowOff>
                  </from>
                  <to>
                    <xdr:col>17</xdr:col>
                    <xdr:colOff>19050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A105"/>
  <sheetViews>
    <sheetView showGridLines="0" zoomScale="90" zoomScaleNormal="90" workbookViewId="0">
      <selection activeCell="T14" sqref="T14"/>
    </sheetView>
  </sheetViews>
  <sheetFormatPr defaultRowHeight="15"/>
  <cols>
    <col min="1" max="42" width="4.7109375" customWidth="1"/>
  </cols>
  <sheetData>
    <row r="1" spans="1:53" ht="15.75" thickBot="1"/>
    <row r="2" spans="1:53">
      <c r="B2" s="652"/>
      <c r="C2" s="653"/>
      <c r="D2" s="653"/>
      <c r="E2" s="653"/>
      <c r="F2" s="653"/>
      <c r="G2" s="654"/>
    </row>
    <row r="3" spans="1:53" ht="15.75" thickBot="1">
      <c r="A3" s="43"/>
      <c r="B3" s="655"/>
      <c r="C3" s="656"/>
      <c r="D3" s="656"/>
      <c r="E3" s="656"/>
      <c r="F3" s="656"/>
      <c r="G3" s="657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</row>
    <row r="4" spans="1:53" ht="15" customHeight="1" thickBot="1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</row>
    <row r="5" spans="1:53" ht="15" customHeight="1">
      <c r="A5" s="43"/>
      <c r="B5" s="459"/>
      <c r="C5" s="658" t="s">
        <v>267</v>
      </c>
      <c r="D5" s="659"/>
      <c r="E5" s="659"/>
      <c r="F5" s="659"/>
      <c r="G5" s="659"/>
      <c r="H5" s="659"/>
      <c r="I5" s="659"/>
      <c r="J5" s="659"/>
      <c r="K5" s="659"/>
      <c r="L5" s="659"/>
      <c r="M5" s="659"/>
      <c r="N5" s="660"/>
      <c r="AD5" s="141"/>
      <c r="AE5" s="651"/>
      <c r="AF5" s="651"/>
      <c r="AG5" s="651"/>
      <c r="AH5" s="651"/>
      <c r="AI5" s="651"/>
      <c r="AJ5" s="651"/>
      <c r="AK5" s="651"/>
      <c r="AL5" s="651"/>
      <c r="AM5" s="651"/>
      <c r="AN5" s="651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</row>
    <row r="6" spans="1:53" ht="15" customHeight="1">
      <c r="A6" s="43"/>
      <c r="B6" s="408"/>
      <c r="C6" s="661" t="s">
        <v>268</v>
      </c>
      <c r="D6" s="662"/>
      <c r="E6" s="662"/>
      <c r="F6" s="662"/>
      <c r="G6" s="662"/>
      <c r="H6" s="662"/>
      <c r="I6" s="662"/>
      <c r="J6" s="662"/>
      <c r="K6" s="662"/>
      <c r="L6" s="662"/>
      <c r="M6" s="662"/>
      <c r="N6" s="66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</row>
    <row r="7" spans="1:53" ht="15" customHeight="1">
      <c r="A7" s="43"/>
      <c r="B7" s="460"/>
      <c r="C7" s="661" t="s">
        <v>269</v>
      </c>
      <c r="D7" s="662"/>
      <c r="E7" s="662"/>
      <c r="F7" s="662"/>
      <c r="G7" s="662"/>
      <c r="H7" s="662"/>
      <c r="I7" s="662"/>
      <c r="J7" s="662"/>
      <c r="K7" s="662"/>
      <c r="L7" s="662"/>
      <c r="M7" s="662"/>
      <c r="N7" s="66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</row>
    <row r="8" spans="1:53" ht="15" customHeight="1">
      <c r="A8" s="43"/>
      <c r="B8" s="461"/>
      <c r="C8" s="664" t="s">
        <v>270</v>
      </c>
      <c r="D8" s="665"/>
      <c r="E8" s="665"/>
      <c r="F8" s="665"/>
      <c r="G8" s="665"/>
      <c r="H8" s="665"/>
      <c r="I8" s="665"/>
      <c r="J8" s="665"/>
      <c r="K8" s="665"/>
      <c r="L8" s="665"/>
      <c r="M8" s="665"/>
      <c r="N8" s="666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</row>
    <row r="9" spans="1:53" ht="15" customHeight="1" thickBot="1">
      <c r="A9" s="43"/>
      <c r="B9" s="462"/>
      <c r="C9" s="667" t="s">
        <v>271</v>
      </c>
      <c r="D9" s="668"/>
      <c r="E9" s="668"/>
      <c r="F9" s="668"/>
      <c r="G9" s="668"/>
      <c r="H9" s="668"/>
      <c r="I9" s="668"/>
      <c r="J9" s="668"/>
      <c r="K9" s="668"/>
      <c r="L9" s="668"/>
      <c r="M9" s="668"/>
      <c r="N9" s="669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</row>
    <row r="10" spans="1:53" ht="15" customHeight="1" thickBot="1">
      <c r="A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</row>
    <row r="11" spans="1:53" ht="15" customHeight="1">
      <c r="A11" s="43"/>
      <c r="B11" s="647" t="s">
        <v>265</v>
      </c>
      <c r="C11" s="648"/>
      <c r="D11" s="648"/>
      <c r="E11" s="648"/>
      <c r="F11" s="648"/>
      <c r="G11" s="648"/>
      <c r="H11" s="648"/>
      <c r="I11" s="648"/>
      <c r="J11" s="648"/>
      <c r="K11" s="648"/>
      <c r="L11" s="648"/>
      <c r="M11" s="648"/>
      <c r="N11" s="649"/>
      <c r="O11" s="147"/>
      <c r="P11" s="647" t="s">
        <v>266</v>
      </c>
      <c r="Q11" s="648"/>
      <c r="R11" s="648"/>
      <c r="S11" s="648"/>
      <c r="T11" s="648"/>
      <c r="U11" s="648"/>
      <c r="V11" s="648"/>
      <c r="W11" s="648"/>
      <c r="X11" s="648"/>
      <c r="Y11" s="648"/>
      <c r="Z11" s="648"/>
      <c r="AA11" s="648"/>
      <c r="AB11" s="650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</row>
    <row r="12" spans="1:53" ht="15" customHeight="1">
      <c r="A12" s="43"/>
      <c r="B12" s="426" t="s">
        <v>0</v>
      </c>
      <c r="C12" s="27" t="s">
        <v>5</v>
      </c>
      <c r="D12" s="118" t="s">
        <v>6</v>
      </c>
      <c r="E12" s="117" t="s">
        <v>7</v>
      </c>
      <c r="F12" s="117" t="s">
        <v>8</v>
      </c>
      <c r="G12" s="117" t="s">
        <v>9</v>
      </c>
      <c r="H12" s="48" t="s">
        <v>10</v>
      </c>
      <c r="I12" s="48" t="s">
        <v>11</v>
      </c>
      <c r="J12" s="30" t="s">
        <v>12</v>
      </c>
      <c r="K12" s="30" t="s">
        <v>13</v>
      </c>
      <c r="L12" s="30" t="s">
        <v>14</v>
      </c>
      <c r="M12" s="30" t="s">
        <v>15</v>
      </c>
      <c r="N12" s="395" t="s">
        <v>16</v>
      </c>
      <c r="O12" s="149"/>
      <c r="P12" s="242" t="s">
        <v>0</v>
      </c>
      <c r="Q12" s="27" t="s">
        <v>5</v>
      </c>
      <c r="R12" s="118" t="s">
        <v>6</v>
      </c>
      <c r="S12" s="117" t="s">
        <v>7</v>
      </c>
      <c r="T12" s="117" t="s">
        <v>8</v>
      </c>
      <c r="U12" s="117" t="s">
        <v>9</v>
      </c>
      <c r="V12" s="48" t="s">
        <v>10</v>
      </c>
      <c r="W12" s="48" t="s">
        <v>11</v>
      </c>
      <c r="X12" s="30" t="s">
        <v>12</v>
      </c>
      <c r="Y12" s="30" t="s">
        <v>13</v>
      </c>
      <c r="Z12" s="30" t="s">
        <v>14</v>
      </c>
      <c r="AA12" s="30" t="s">
        <v>15</v>
      </c>
      <c r="AB12" s="395" t="s">
        <v>16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</row>
    <row r="13" spans="1:53" ht="15" customHeight="1">
      <c r="A13" s="43"/>
      <c r="B13" s="242" t="s">
        <v>76</v>
      </c>
      <c r="C13" s="162" t="s">
        <v>1</v>
      </c>
      <c r="D13" s="117" t="s">
        <v>95</v>
      </c>
      <c r="E13" s="117" t="s">
        <v>94</v>
      </c>
      <c r="F13" s="136" t="s">
        <v>19</v>
      </c>
      <c r="G13" s="30" t="s">
        <v>20</v>
      </c>
      <c r="H13" s="30" t="s">
        <v>21</v>
      </c>
      <c r="I13" s="30" t="s">
        <v>22</v>
      </c>
      <c r="J13" s="30" t="s">
        <v>23</v>
      </c>
      <c r="K13" s="30" t="s">
        <v>24</v>
      </c>
      <c r="L13" s="30" t="s">
        <v>25</v>
      </c>
      <c r="M13" s="30" t="s">
        <v>26</v>
      </c>
      <c r="N13" s="395" t="s">
        <v>191</v>
      </c>
      <c r="O13" s="149"/>
      <c r="P13" s="242" t="s">
        <v>76</v>
      </c>
      <c r="Q13" s="27" t="s">
        <v>1</v>
      </c>
      <c r="R13" s="117" t="s">
        <v>95</v>
      </c>
      <c r="S13" s="117" t="s">
        <v>94</v>
      </c>
      <c r="T13" s="117" t="s">
        <v>19</v>
      </c>
      <c r="U13" s="48" t="s">
        <v>20</v>
      </c>
      <c r="V13" s="30" t="s">
        <v>21</v>
      </c>
      <c r="W13" s="30" t="s">
        <v>22</v>
      </c>
      <c r="X13" s="30" t="s">
        <v>23</v>
      </c>
      <c r="Y13" s="30" t="s">
        <v>24</v>
      </c>
      <c r="Z13" s="30" t="s">
        <v>25</v>
      </c>
      <c r="AA13" s="30" t="s">
        <v>26</v>
      </c>
      <c r="AB13" s="395" t="s">
        <v>191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</row>
    <row r="14" spans="1:53" ht="15" customHeight="1">
      <c r="A14" s="43"/>
      <c r="B14" s="243" t="s">
        <v>77</v>
      </c>
      <c r="C14" s="118" t="s">
        <v>17</v>
      </c>
      <c r="D14" s="162" t="s">
        <v>2</v>
      </c>
      <c r="E14" s="136" t="s">
        <v>97</v>
      </c>
      <c r="F14" s="136" t="s">
        <v>92</v>
      </c>
      <c r="G14" s="30" t="s">
        <v>96</v>
      </c>
      <c r="H14" s="30" t="s">
        <v>73</v>
      </c>
      <c r="I14" s="30" t="s">
        <v>68</v>
      </c>
      <c r="J14" s="30" t="s">
        <v>62</v>
      </c>
      <c r="K14" s="30" t="s">
        <v>55</v>
      </c>
      <c r="L14" s="30" t="s">
        <v>47</v>
      </c>
      <c r="M14" s="30" t="s">
        <v>38</v>
      </c>
      <c r="N14" s="395" t="s">
        <v>30</v>
      </c>
      <c r="O14" s="149"/>
      <c r="P14" s="243" t="s">
        <v>77</v>
      </c>
      <c r="Q14" s="118" t="s">
        <v>17</v>
      </c>
      <c r="R14" s="27" t="s">
        <v>2</v>
      </c>
      <c r="S14" s="136" t="s">
        <v>97</v>
      </c>
      <c r="T14" s="136" t="s">
        <v>92</v>
      </c>
      <c r="U14" s="30" t="s">
        <v>96</v>
      </c>
      <c r="V14" s="30" t="s">
        <v>73</v>
      </c>
      <c r="W14" s="30" t="s">
        <v>68</v>
      </c>
      <c r="X14" s="30" t="s">
        <v>62</v>
      </c>
      <c r="Y14" s="30" t="s">
        <v>55</v>
      </c>
      <c r="Z14" s="30" t="s">
        <v>47</v>
      </c>
      <c r="AA14" s="30" t="s">
        <v>38</v>
      </c>
      <c r="AB14" s="395" t="s">
        <v>30</v>
      </c>
      <c r="AO14" s="43"/>
      <c r="AP14" s="43"/>
      <c r="AQ14" s="43"/>
      <c r="AR14" s="43"/>
      <c r="AS14" s="43"/>
      <c r="AT14" s="43"/>
      <c r="AU14" s="43"/>
      <c r="AV14" s="43"/>
      <c r="AW14" s="43"/>
    </row>
    <row r="15" spans="1:53" ht="15" customHeight="1">
      <c r="A15" s="43"/>
      <c r="B15" s="247" t="s">
        <v>78</v>
      </c>
      <c r="C15" s="48" t="s">
        <v>18</v>
      </c>
      <c r="D15" s="30" t="s">
        <v>93</v>
      </c>
      <c r="E15" s="162" t="s">
        <v>3</v>
      </c>
      <c r="F15" s="136" t="s">
        <v>91</v>
      </c>
      <c r="G15" s="30" t="s">
        <v>90</v>
      </c>
      <c r="H15" s="30" t="s">
        <v>74</v>
      </c>
      <c r="I15" s="30" t="s">
        <v>69</v>
      </c>
      <c r="J15" s="30" t="s">
        <v>63</v>
      </c>
      <c r="K15" s="30" t="s">
        <v>56</v>
      </c>
      <c r="L15" s="30" t="s">
        <v>48</v>
      </c>
      <c r="M15" s="30" t="s">
        <v>39</v>
      </c>
      <c r="N15" s="395" t="s">
        <v>28</v>
      </c>
      <c r="O15" s="149"/>
      <c r="P15" s="247" t="s">
        <v>78</v>
      </c>
      <c r="Q15" s="48" t="s">
        <v>18</v>
      </c>
      <c r="R15" s="30" t="s">
        <v>93</v>
      </c>
      <c r="S15" s="117" t="s">
        <v>3</v>
      </c>
      <c r="T15" s="136" t="s">
        <v>91</v>
      </c>
      <c r="U15" s="30" t="s">
        <v>90</v>
      </c>
      <c r="V15" s="30" t="s">
        <v>74</v>
      </c>
      <c r="W15" s="30" t="s">
        <v>69</v>
      </c>
      <c r="X15" s="30" t="s">
        <v>63</v>
      </c>
      <c r="Y15" s="30" t="s">
        <v>56</v>
      </c>
      <c r="Z15" s="30" t="s">
        <v>48</v>
      </c>
      <c r="AA15" s="30" t="s">
        <v>39</v>
      </c>
      <c r="AB15" s="395" t="s">
        <v>28</v>
      </c>
      <c r="AO15" s="43"/>
      <c r="AP15" s="43"/>
      <c r="AQ15" s="43"/>
      <c r="AR15" s="43"/>
      <c r="AS15" s="43"/>
      <c r="AT15" s="43"/>
      <c r="AU15" s="43"/>
      <c r="AV15" s="43"/>
      <c r="AW15" s="43"/>
    </row>
    <row r="16" spans="1:53" ht="15" customHeight="1">
      <c r="A16" s="43"/>
      <c r="B16" s="414" t="s">
        <v>79</v>
      </c>
      <c r="C16" s="48" t="s">
        <v>98</v>
      </c>
      <c r="D16" s="30" t="s">
        <v>99</v>
      </c>
      <c r="E16" s="30" t="s">
        <v>100</v>
      </c>
      <c r="F16" s="163" t="s">
        <v>4</v>
      </c>
      <c r="G16" s="30" t="s">
        <v>89</v>
      </c>
      <c r="H16" s="30" t="s">
        <v>75</v>
      </c>
      <c r="I16" s="30" t="s">
        <v>70</v>
      </c>
      <c r="J16" s="30" t="s">
        <v>64</v>
      </c>
      <c r="K16" s="30" t="s">
        <v>57</v>
      </c>
      <c r="L16" s="30" t="s">
        <v>49</v>
      </c>
      <c r="M16" s="30" t="s">
        <v>40</v>
      </c>
      <c r="N16" s="395" t="s">
        <v>29</v>
      </c>
      <c r="O16" s="149"/>
      <c r="P16" s="414" t="s">
        <v>79</v>
      </c>
      <c r="Q16" s="30" t="s">
        <v>98</v>
      </c>
      <c r="R16" s="30" t="s">
        <v>99</v>
      </c>
      <c r="S16" s="30" t="s">
        <v>100</v>
      </c>
      <c r="T16" s="119" t="s">
        <v>4</v>
      </c>
      <c r="U16" s="30" t="s">
        <v>89</v>
      </c>
      <c r="V16" s="30" t="s">
        <v>75</v>
      </c>
      <c r="W16" s="30" t="s">
        <v>70</v>
      </c>
      <c r="X16" s="30" t="s">
        <v>64</v>
      </c>
      <c r="Y16" s="30" t="s">
        <v>57</v>
      </c>
      <c r="Z16" s="30" t="s">
        <v>49</v>
      </c>
      <c r="AA16" s="30" t="s">
        <v>40</v>
      </c>
      <c r="AB16" s="395" t="s">
        <v>29</v>
      </c>
      <c r="AO16" s="43"/>
      <c r="AP16" s="43"/>
      <c r="AQ16" s="43"/>
      <c r="AR16" s="43"/>
      <c r="AS16" s="43"/>
      <c r="AT16" s="43"/>
      <c r="AU16" s="43"/>
      <c r="AV16" s="43"/>
      <c r="AW16" s="43"/>
    </row>
    <row r="17" spans="1:53" ht="15" customHeight="1">
      <c r="A17" s="43"/>
      <c r="B17" s="414" t="s">
        <v>80</v>
      </c>
      <c r="C17" s="48" t="s">
        <v>101</v>
      </c>
      <c r="D17" s="30" t="s">
        <v>109</v>
      </c>
      <c r="E17" s="30" t="s">
        <v>117</v>
      </c>
      <c r="F17" s="30" t="s">
        <v>125</v>
      </c>
      <c r="G17" s="163">
        <v>99</v>
      </c>
      <c r="H17" s="30" t="s">
        <v>88</v>
      </c>
      <c r="I17" s="30" t="s">
        <v>71</v>
      </c>
      <c r="J17" s="30" t="s">
        <v>65</v>
      </c>
      <c r="K17" s="30" t="s">
        <v>58</v>
      </c>
      <c r="L17" s="30" t="s">
        <v>50</v>
      </c>
      <c r="M17" s="30" t="s">
        <v>41</v>
      </c>
      <c r="N17" s="395" t="s">
        <v>31</v>
      </c>
      <c r="O17" s="149"/>
      <c r="P17" s="414" t="s">
        <v>80</v>
      </c>
      <c r="Q17" s="47" t="s">
        <v>101</v>
      </c>
      <c r="R17" s="30" t="s">
        <v>109</v>
      </c>
      <c r="S17" s="30" t="s">
        <v>117</v>
      </c>
      <c r="T17" s="30" t="s">
        <v>125</v>
      </c>
      <c r="U17" s="119">
        <v>99</v>
      </c>
      <c r="V17" s="30" t="s">
        <v>88</v>
      </c>
      <c r="W17" s="30" t="s">
        <v>71</v>
      </c>
      <c r="X17" s="30" t="s">
        <v>65</v>
      </c>
      <c r="Y17" s="30" t="s">
        <v>58</v>
      </c>
      <c r="Z17" s="30" t="s">
        <v>50</v>
      </c>
      <c r="AA17" s="30" t="s">
        <v>41</v>
      </c>
      <c r="AB17" s="395" t="s">
        <v>31</v>
      </c>
      <c r="AO17" s="43"/>
      <c r="AP17" s="43"/>
      <c r="AQ17" s="43"/>
      <c r="AR17" s="43"/>
      <c r="AS17" s="43"/>
      <c r="AT17" s="43"/>
      <c r="AU17" s="43"/>
      <c r="AV17" s="43"/>
      <c r="AW17" s="43"/>
    </row>
    <row r="18" spans="1:53" ht="15" customHeight="1">
      <c r="A18" s="43"/>
      <c r="B18" s="414" t="s">
        <v>81</v>
      </c>
      <c r="C18" s="48" t="s">
        <v>102</v>
      </c>
      <c r="D18" s="30" t="s">
        <v>110</v>
      </c>
      <c r="E18" s="30" t="s">
        <v>118</v>
      </c>
      <c r="F18" s="30" t="s">
        <v>126</v>
      </c>
      <c r="G18" s="30" t="s">
        <v>133</v>
      </c>
      <c r="H18" s="136">
        <v>88</v>
      </c>
      <c r="I18" s="30" t="s">
        <v>72</v>
      </c>
      <c r="J18" s="30" t="s">
        <v>66</v>
      </c>
      <c r="K18" s="30" t="s">
        <v>59</v>
      </c>
      <c r="L18" s="30" t="s">
        <v>51</v>
      </c>
      <c r="M18" s="30" t="s">
        <v>42</v>
      </c>
      <c r="N18" s="395" t="s">
        <v>32</v>
      </c>
      <c r="O18" s="149"/>
      <c r="P18" s="384" t="s">
        <v>81</v>
      </c>
      <c r="Q18" s="47" t="s">
        <v>102</v>
      </c>
      <c r="R18" s="47" t="s">
        <v>110</v>
      </c>
      <c r="S18" s="30" t="s">
        <v>118</v>
      </c>
      <c r="T18" s="30" t="s">
        <v>126</v>
      </c>
      <c r="U18" s="30" t="s">
        <v>133</v>
      </c>
      <c r="V18" s="117">
        <v>88</v>
      </c>
      <c r="W18" s="30" t="s">
        <v>72</v>
      </c>
      <c r="X18" s="30" t="s">
        <v>66</v>
      </c>
      <c r="Y18" s="30" t="s">
        <v>59</v>
      </c>
      <c r="Z18" s="30" t="s">
        <v>51</v>
      </c>
      <c r="AA18" s="30" t="s">
        <v>42</v>
      </c>
      <c r="AB18" s="395" t="s">
        <v>32</v>
      </c>
      <c r="AO18" s="43"/>
      <c r="AP18" s="43"/>
      <c r="AQ18" s="43"/>
      <c r="AR18" s="43"/>
      <c r="AS18" s="43"/>
      <c r="AT18" s="43"/>
      <c r="AU18" s="43"/>
      <c r="AV18" s="43"/>
      <c r="AW18" s="43"/>
    </row>
    <row r="19" spans="1:53" ht="15" customHeight="1">
      <c r="A19" s="43"/>
      <c r="B19" s="414" t="s">
        <v>82</v>
      </c>
      <c r="C19" s="48" t="s">
        <v>103</v>
      </c>
      <c r="D19" s="30" t="s">
        <v>111</v>
      </c>
      <c r="E19" s="30" t="s">
        <v>119</v>
      </c>
      <c r="F19" s="30" t="s">
        <v>127</v>
      </c>
      <c r="G19" s="30" t="s">
        <v>134</v>
      </c>
      <c r="H19" s="48" t="s">
        <v>140</v>
      </c>
      <c r="I19" s="136">
        <v>77</v>
      </c>
      <c r="J19" s="30" t="s">
        <v>67</v>
      </c>
      <c r="K19" s="30" t="s">
        <v>60</v>
      </c>
      <c r="L19" s="30" t="s">
        <v>52</v>
      </c>
      <c r="M19" s="30" t="s">
        <v>43</v>
      </c>
      <c r="N19" s="395" t="s">
        <v>33</v>
      </c>
      <c r="O19" s="149"/>
      <c r="P19" s="384" t="s">
        <v>82</v>
      </c>
      <c r="Q19" s="47" t="s">
        <v>103</v>
      </c>
      <c r="R19" s="47" t="s">
        <v>111</v>
      </c>
      <c r="S19" s="47" t="s">
        <v>119</v>
      </c>
      <c r="T19" s="47" t="s">
        <v>127</v>
      </c>
      <c r="U19" s="47" t="s">
        <v>134</v>
      </c>
      <c r="V19" s="47" t="s">
        <v>140</v>
      </c>
      <c r="W19" s="117">
        <v>77</v>
      </c>
      <c r="X19" s="30" t="s">
        <v>67</v>
      </c>
      <c r="Y19" s="30" t="s">
        <v>60</v>
      </c>
      <c r="Z19" s="30" t="s">
        <v>52</v>
      </c>
      <c r="AA19" s="47" t="s">
        <v>43</v>
      </c>
      <c r="AB19" s="366" t="s">
        <v>33</v>
      </c>
      <c r="AO19" s="43"/>
      <c r="AP19" s="43"/>
      <c r="AQ19" s="43"/>
      <c r="AR19" s="43"/>
      <c r="AS19" s="43"/>
      <c r="AT19" s="43"/>
      <c r="AU19" s="43"/>
      <c r="AV19" s="43"/>
      <c r="AW19" s="43"/>
    </row>
    <row r="20" spans="1:53" ht="15" customHeight="1">
      <c r="A20" s="43"/>
      <c r="B20" s="414" t="s">
        <v>83</v>
      </c>
      <c r="C20" s="48" t="s">
        <v>108</v>
      </c>
      <c r="D20" s="30" t="s">
        <v>112</v>
      </c>
      <c r="E20" s="30" t="s">
        <v>120</v>
      </c>
      <c r="F20" s="30" t="s">
        <v>128</v>
      </c>
      <c r="G20" s="30" t="s">
        <v>135</v>
      </c>
      <c r="H20" s="30" t="s">
        <v>141</v>
      </c>
      <c r="I20" s="48" t="s">
        <v>146</v>
      </c>
      <c r="J20" s="117">
        <v>66</v>
      </c>
      <c r="K20" s="30" t="s">
        <v>61</v>
      </c>
      <c r="L20" s="30" t="s">
        <v>53</v>
      </c>
      <c r="M20" s="30" t="s">
        <v>44</v>
      </c>
      <c r="N20" s="395" t="s">
        <v>34</v>
      </c>
      <c r="O20" s="149"/>
      <c r="P20" s="384" t="s">
        <v>83</v>
      </c>
      <c r="Q20" s="47" t="s">
        <v>108</v>
      </c>
      <c r="R20" s="47" t="s">
        <v>112</v>
      </c>
      <c r="S20" s="47" t="s">
        <v>120</v>
      </c>
      <c r="T20" s="47" t="s">
        <v>128</v>
      </c>
      <c r="U20" s="47" t="s">
        <v>135</v>
      </c>
      <c r="V20" s="47" t="s">
        <v>141</v>
      </c>
      <c r="W20" s="165" t="s">
        <v>146</v>
      </c>
      <c r="X20" s="117">
        <v>66</v>
      </c>
      <c r="Y20" s="30" t="s">
        <v>61</v>
      </c>
      <c r="Z20" s="30" t="s">
        <v>53</v>
      </c>
      <c r="AA20" s="47" t="s">
        <v>44</v>
      </c>
      <c r="AB20" s="366" t="s">
        <v>34</v>
      </c>
      <c r="AO20" s="43"/>
      <c r="AP20" s="43"/>
      <c r="AQ20" s="43"/>
      <c r="AR20" s="43"/>
      <c r="AS20" s="43"/>
      <c r="AT20" s="43"/>
      <c r="AU20" s="43"/>
      <c r="AV20" s="43"/>
      <c r="AW20" s="43"/>
    </row>
    <row r="21" spans="1:53" ht="15" customHeight="1">
      <c r="A21" s="43"/>
      <c r="B21" s="414" t="s">
        <v>84</v>
      </c>
      <c r="C21" s="48" t="s">
        <v>104</v>
      </c>
      <c r="D21" s="30" t="s">
        <v>113</v>
      </c>
      <c r="E21" s="30" t="s">
        <v>121</v>
      </c>
      <c r="F21" s="30" t="s">
        <v>129</v>
      </c>
      <c r="G21" s="30" t="s">
        <v>136</v>
      </c>
      <c r="H21" s="30" t="s">
        <v>142</v>
      </c>
      <c r="I21" s="30" t="s">
        <v>147</v>
      </c>
      <c r="J21" s="30" t="s">
        <v>151</v>
      </c>
      <c r="K21" s="117">
        <v>55</v>
      </c>
      <c r="L21" s="30" t="s">
        <v>54</v>
      </c>
      <c r="M21" s="30" t="s">
        <v>45</v>
      </c>
      <c r="N21" s="395" t="s">
        <v>35</v>
      </c>
      <c r="O21" s="149"/>
      <c r="P21" s="384" t="s">
        <v>84</v>
      </c>
      <c r="Q21" s="165" t="s">
        <v>104</v>
      </c>
      <c r="R21" s="47" t="s">
        <v>113</v>
      </c>
      <c r="S21" s="47" t="s">
        <v>121</v>
      </c>
      <c r="T21" s="47" t="s">
        <v>129</v>
      </c>
      <c r="U21" s="47" t="s">
        <v>136</v>
      </c>
      <c r="V21" s="47" t="s">
        <v>142</v>
      </c>
      <c r="W21" s="165" t="s">
        <v>147</v>
      </c>
      <c r="X21" s="165" t="s">
        <v>151</v>
      </c>
      <c r="Y21" s="166">
        <v>55</v>
      </c>
      <c r="Z21" s="30" t="s">
        <v>54</v>
      </c>
      <c r="AA21" s="30" t="s">
        <v>45</v>
      </c>
      <c r="AB21" s="395" t="s">
        <v>35</v>
      </c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</row>
    <row r="22" spans="1:53" ht="15" customHeight="1">
      <c r="A22" s="43"/>
      <c r="B22" s="414" t="s">
        <v>85</v>
      </c>
      <c r="C22" s="48" t="s">
        <v>105</v>
      </c>
      <c r="D22" s="30" t="s">
        <v>114</v>
      </c>
      <c r="E22" s="30" t="s">
        <v>122</v>
      </c>
      <c r="F22" s="30" t="s">
        <v>130</v>
      </c>
      <c r="G22" s="30" t="s">
        <v>137</v>
      </c>
      <c r="H22" s="30" t="s">
        <v>143</v>
      </c>
      <c r="I22" s="30" t="s">
        <v>148</v>
      </c>
      <c r="J22" s="30" t="s">
        <v>152</v>
      </c>
      <c r="K22" s="30" t="s">
        <v>155</v>
      </c>
      <c r="L22" s="117">
        <v>44</v>
      </c>
      <c r="M22" s="30" t="s">
        <v>46</v>
      </c>
      <c r="N22" s="395" t="s">
        <v>36</v>
      </c>
      <c r="O22" s="149"/>
      <c r="P22" s="384" t="s">
        <v>85</v>
      </c>
      <c r="Q22" s="165" t="s">
        <v>105</v>
      </c>
      <c r="R22" s="47" t="s">
        <v>114</v>
      </c>
      <c r="S22" s="47" t="s">
        <v>122</v>
      </c>
      <c r="T22" s="47" t="s">
        <v>130</v>
      </c>
      <c r="U22" s="47" t="s">
        <v>137</v>
      </c>
      <c r="V22" s="47" t="s">
        <v>143</v>
      </c>
      <c r="W22" s="165" t="s">
        <v>148</v>
      </c>
      <c r="X22" s="165" t="s">
        <v>152</v>
      </c>
      <c r="Y22" s="30" t="s">
        <v>155</v>
      </c>
      <c r="Z22" s="166">
        <v>44</v>
      </c>
      <c r="AA22" s="30" t="s">
        <v>46</v>
      </c>
      <c r="AB22" s="395" t="s">
        <v>36</v>
      </c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</row>
    <row r="23" spans="1:53" ht="15" customHeight="1">
      <c r="A23" s="43"/>
      <c r="B23" s="414" t="s">
        <v>86</v>
      </c>
      <c r="C23" s="48" t="s">
        <v>106</v>
      </c>
      <c r="D23" s="48" t="s">
        <v>115</v>
      </c>
      <c r="E23" s="48" t="s">
        <v>123</v>
      </c>
      <c r="F23" s="48" t="s">
        <v>131</v>
      </c>
      <c r="G23" s="48" t="s">
        <v>138</v>
      </c>
      <c r="H23" s="48" t="s">
        <v>144</v>
      </c>
      <c r="I23" s="30" t="s">
        <v>149</v>
      </c>
      <c r="J23" s="30" t="s">
        <v>153</v>
      </c>
      <c r="K23" s="30" t="s">
        <v>156</v>
      </c>
      <c r="L23" s="30" t="s">
        <v>158</v>
      </c>
      <c r="M23" s="117">
        <v>33</v>
      </c>
      <c r="N23" s="395" t="s">
        <v>37</v>
      </c>
      <c r="O23" s="149"/>
      <c r="P23" s="384" t="s">
        <v>86</v>
      </c>
      <c r="Q23" s="165" t="s">
        <v>106</v>
      </c>
      <c r="R23" s="47" t="s">
        <v>115</v>
      </c>
      <c r="S23" s="47" t="s">
        <v>123</v>
      </c>
      <c r="T23" s="47" t="s">
        <v>131</v>
      </c>
      <c r="U23" s="47" t="s">
        <v>138</v>
      </c>
      <c r="V23" s="47" t="s">
        <v>144</v>
      </c>
      <c r="W23" s="165" t="s">
        <v>149</v>
      </c>
      <c r="X23" s="165" t="s">
        <v>153</v>
      </c>
      <c r="Y23" s="30" t="s">
        <v>156</v>
      </c>
      <c r="Z23" s="30" t="s">
        <v>158</v>
      </c>
      <c r="AA23" s="166">
        <v>33</v>
      </c>
      <c r="AB23" s="395" t="s">
        <v>37</v>
      </c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</row>
    <row r="24" spans="1:53" ht="15" customHeight="1" thickBot="1">
      <c r="A24" s="43"/>
      <c r="B24" s="434" t="s">
        <v>87</v>
      </c>
      <c r="C24" s="435" t="s">
        <v>107</v>
      </c>
      <c r="D24" s="435" t="s">
        <v>116</v>
      </c>
      <c r="E24" s="435" t="s">
        <v>124</v>
      </c>
      <c r="F24" s="435" t="s">
        <v>132</v>
      </c>
      <c r="G24" s="435" t="s">
        <v>139</v>
      </c>
      <c r="H24" s="435" t="s">
        <v>145</v>
      </c>
      <c r="I24" s="427" t="s">
        <v>150</v>
      </c>
      <c r="J24" s="427" t="s">
        <v>154</v>
      </c>
      <c r="K24" s="427" t="s">
        <v>157</v>
      </c>
      <c r="L24" s="427" t="s">
        <v>160</v>
      </c>
      <c r="M24" s="427" t="s">
        <v>159</v>
      </c>
      <c r="N24" s="249">
        <v>22</v>
      </c>
      <c r="O24" s="161"/>
      <c r="P24" s="388" t="s">
        <v>87</v>
      </c>
      <c r="Q24" s="457" t="s">
        <v>107</v>
      </c>
      <c r="R24" s="392" t="s">
        <v>116</v>
      </c>
      <c r="S24" s="392" t="s">
        <v>124</v>
      </c>
      <c r="T24" s="392" t="s">
        <v>132</v>
      </c>
      <c r="U24" s="392" t="s">
        <v>139</v>
      </c>
      <c r="V24" s="392" t="s">
        <v>145</v>
      </c>
      <c r="W24" s="457" t="s">
        <v>150</v>
      </c>
      <c r="X24" s="457" t="s">
        <v>154</v>
      </c>
      <c r="Y24" s="427" t="s">
        <v>157</v>
      </c>
      <c r="Z24" s="427" t="s">
        <v>160</v>
      </c>
      <c r="AA24" s="427" t="s">
        <v>159</v>
      </c>
      <c r="AB24" s="458">
        <v>22</v>
      </c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</row>
    <row r="25" spans="1:53" ht="15" customHeight="1">
      <c r="A25" s="43"/>
      <c r="B25" s="43"/>
      <c r="O25" s="43"/>
      <c r="P25" s="43"/>
      <c r="Q25" s="43"/>
      <c r="R25" s="43"/>
      <c r="S25" s="43"/>
      <c r="T25" s="43"/>
      <c r="W25" s="43"/>
      <c r="X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</row>
    <row r="26" spans="1:53" ht="15" customHeight="1">
      <c r="A26" s="43"/>
      <c r="B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</row>
    <row r="27" spans="1:53">
      <c r="A27" s="43"/>
      <c r="B27" s="43"/>
      <c r="O27" s="43"/>
      <c r="P27" s="43"/>
      <c r="Q27" s="43"/>
      <c r="R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</row>
    <row r="28" spans="1:53">
      <c r="A28" s="43"/>
      <c r="B28" s="43"/>
      <c r="O28" s="43"/>
      <c r="P28" s="43"/>
      <c r="Q28" s="43"/>
      <c r="R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</row>
    <row r="29" spans="1:53">
      <c r="A29" s="43"/>
      <c r="B29" s="43"/>
      <c r="O29" s="43"/>
      <c r="P29" s="43"/>
      <c r="Q29" s="43"/>
      <c r="R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</row>
    <row r="30" spans="1:53">
      <c r="A30" s="43"/>
      <c r="B30" s="43"/>
      <c r="O30" s="43"/>
      <c r="P30" s="43"/>
      <c r="Q30" s="43"/>
      <c r="R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</row>
    <row r="31" spans="1:53">
      <c r="A31" s="43"/>
      <c r="B31" s="43"/>
      <c r="C31" s="43"/>
      <c r="D31" s="43"/>
      <c r="E31" s="43"/>
      <c r="F31" s="43"/>
      <c r="G31" s="43"/>
      <c r="H31" s="43"/>
      <c r="I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</row>
    <row r="32" spans="1:5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</row>
    <row r="33" spans="1:53">
      <c r="A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</row>
    <row r="34" spans="1:53">
      <c r="A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</row>
    <row r="35" spans="1:53">
      <c r="A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</row>
    <row r="36" spans="1:53">
      <c r="A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</row>
    <row r="37" spans="1:53">
      <c r="A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</row>
    <row r="38" spans="1:53">
      <c r="A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</row>
    <row r="39" spans="1:53">
      <c r="A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</row>
    <row r="40" spans="1:53">
      <c r="A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</row>
    <row r="41" spans="1:53">
      <c r="A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</row>
    <row r="42" spans="1:53">
      <c r="A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</row>
    <row r="43" spans="1:53">
      <c r="A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</row>
    <row r="44" spans="1:53">
      <c r="A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</row>
    <row r="45" spans="1:53">
      <c r="A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</row>
    <row r="46" spans="1:53">
      <c r="A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</row>
    <row r="47" spans="1:53">
      <c r="A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</row>
    <row r="48" spans="1:53">
      <c r="A48" s="43"/>
      <c r="R48" s="43"/>
      <c r="S48" s="43"/>
      <c r="T48" s="43"/>
      <c r="U48" s="43"/>
      <c r="V48" s="43"/>
      <c r="W48" s="43"/>
      <c r="X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</row>
    <row r="49" spans="1:53">
      <c r="A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</row>
    <row r="50" spans="1:53">
      <c r="A50" s="43"/>
      <c r="N50" s="43"/>
      <c r="O50" s="43"/>
      <c r="P50" s="43"/>
      <c r="Q50" s="43"/>
      <c r="R50" s="43"/>
      <c r="S50" s="43"/>
      <c r="T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</row>
    <row r="51" spans="1:53">
      <c r="A51" s="43"/>
      <c r="N51" s="43"/>
      <c r="O51" s="43"/>
      <c r="P51" s="43"/>
      <c r="Q51" s="43"/>
      <c r="R51" s="43"/>
      <c r="S51" s="43"/>
      <c r="T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</row>
    <row r="52" spans="1:53">
      <c r="A52" s="43"/>
      <c r="N52" s="43"/>
      <c r="O52" s="43"/>
      <c r="P52" s="43"/>
      <c r="Q52" s="43"/>
      <c r="R52" s="43"/>
      <c r="S52" s="43"/>
      <c r="T52" s="43"/>
      <c r="W52" s="43"/>
      <c r="X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</row>
    <row r="53" spans="1:5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</row>
    <row r="54" spans="1:53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</row>
    <row r="55" spans="1:5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</row>
    <row r="56" spans="1:53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</row>
    <row r="57" spans="1:5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</row>
    <row r="58" spans="1:5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</row>
    <row r="59" spans="1:5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</row>
    <row r="60" spans="1:5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</row>
    <row r="61" spans="1:5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</row>
    <row r="62" spans="1:53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</row>
    <row r="63" spans="1:5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</row>
    <row r="64" spans="1:53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</row>
    <row r="65" spans="1:5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</row>
    <row r="66" spans="1:53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</row>
    <row r="67" spans="1:5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</row>
    <row r="68" spans="1:53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</row>
    <row r="69" spans="1:5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</row>
    <row r="70" spans="1:53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</row>
    <row r="71" spans="1:5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</row>
    <row r="72" spans="1:53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</row>
    <row r="73" spans="1:5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</row>
    <row r="74" spans="1:53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</row>
    <row r="75" spans="1:5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</row>
    <row r="76" spans="1:53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</row>
    <row r="77" spans="1:5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</row>
    <row r="78" spans="1:53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</row>
    <row r="79" spans="1:5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</row>
    <row r="80" spans="1:53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</row>
    <row r="81" spans="1:5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</row>
    <row r="82" spans="1:53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</row>
    <row r="83" spans="1:5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</row>
    <row r="84" spans="1:53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</row>
    <row r="85" spans="1:5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</row>
    <row r="86" spans="1:53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</row>
    <row r="87" spans="1:5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</row>
    <row r="88" spans="1:53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</row>
    <row r="89" spans="1:5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</row>
    <row r="90" spans="1:53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</row>
    <row r="91" spans="1:5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</row>
    <row r="92" spans="1:53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</row>
    <row r="93" spans="1:5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</row>
    <row r="94" spans="1:53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</row>
    <row r="95" spans="1:5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</row>
    <row r="96" spans="1:53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</row>
    <row r="97" spans="1:5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</row>
    <row r="98" spans="1:53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</row>
    <row r="99" spans="1:5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</row>
    <row r="100" spans="1:53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</row>
    <row r="101" spans="1:5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</row>
    <row r="102" spans="1:53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</row>
    <row r="103" spans="1:5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</row>
    <row r="104" spans="1:53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</row>
    <row r="105" spans="1:5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</row>
  </sheetData>
  <mergeCells count="9">
    <mergeCell ref="B11:N11"/>
    <mergeCell ref="P11:AB11"/>
    <mergeCell ref="AE5:AN5"/>
    <mergeCell ref="B2:G3"/>
    <mergeCell ref="C5:N5"/>
    <mergeCell ref="C6:N6"/>
    <mergeCell ref="C7:N7"/>
    <mergeCell ref="C8:N8"/>
    <mergeCell ref="C9:N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VoltBB">
                <anchor moveWithCells="1" sizeWithCells="1">
                  <from>
                    <xdr:col>3</xdr:col>
                    <xdr:colOff>190500</xdr:colOff>
                    <xdr:row>1</xdr:row>
                    <xdr:rowOff>85725</xdr:rowOff>
                  </from>
                  <to>
                    <xdr:col>6</xdr:col>
                    <xdr:colOff>85725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R18"/>
  <sheetViews>
    <sheetView showGridLines="0" showRowColHeaders="0" topLeftCell="B1" workbookViewId="0">
      <selection activeCell="S12" sqref="S12"/>
    </sheetView>
  </sheetViews>
  <sheetFormatPr defaultRowHeight="15"/>
  <cols>
    <col min="1" max="1" width="2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70" t="s">
        <v>161</v>
      </c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N1" s="670"/>
    </row>
    <row r="2" spans="2:18">
      <c r="B2" s="9" t="s">
        <v>0</v>
      </c>
      <c r="C2" s="9" t="s">
        <v>5</v>
      </c>
      <c r="D2" s="9" t="s">
        <v>6</v>
      </c>
      <c r="E2" s="9" t="s">
        <v>7</v>
      </c>
      <c r="F2" s="15" t="s">
        <v>8</v>
      </c>
      <c r="G2" s="12" t="s">
        <v>9</v>
      </c>
      <c r="H2" s="12" t="s">
        <v>10</v>
      </c>
      <c r="I2" s="4" t="s">
        <v>11</v>
      </c>
      <c r="J2" s="4" t="s">
        <v>12</v>
      </c>
      <c r="K2" s="4" t="s">
        <v>13</v>
      </c>
      <c r="L2" s="4" t="s">
        <v>14</v>
      </c>
      <c r="M2" s="4" t="s">
        <v>15</v>
      </c>
      <c r="N2" s="4" t="s">
        <v>16</v>
      </c>
      <c r="R2" s="1" t="s">
        <v>182</v>
      </c>
    </row>
    <row r="3" spans="2:18">
      <c r="B3" s="9" t="s">
        <v>76</v>
      </c>
      <c r="C3" s="9" t="s">
        <v>1</v>
      </c>
      <c r="D3" s="9" t="s">
        <v>95</v>
      </c>
      <c r="E3" s="15" t="s">
        <v>94</v>
      </c>
      <c r="F3" s="12" t="s">
        <v>19</v>
      </c>
      <c r="G3" s="4" t="s">
        <v>20</v>
      </c>
      <c r="H3" s="4" t="s">
        <v>21</v>
      </c>
      <c r="I3" s="4" t="s">
        <v>22</v>
      </c>
      <c r="J3" s="4" t="s">
        <v>23</v>
      </c>
      <c r="K3" s="4" t="s">
        <v>24</v>
      </c>
      <c r="L3" s="4" t="s">
        <v>25</v>
      </c>
      <c r="M3" s="4" t="s">
        <v>26</v>
      </c>
      <c r="N3" s="4" t="s">
        <v>27</v>
      </c>
      <c r="R3" t="s">
        <v>185</v>
      </c>
    </row>
    <row r="4" spans="2:18">
      <c r="B4" s="9" t="s">
        <v>77</v>
      </c>
      <c r="C4" s="15" t="s">
        <v>17</v>
      </c>
      <c r="D4" s="9" t="s">
        <v>2</v>
      </c>
      <c r="E4" s="12" t="s">
        <v>97</v>
      </c>
      <c r="F4" s="12" t="s">
        <v>92</v>
      </c>
      <c r="G4" s="4" t="s">
        <v>96</v>
      </c>
      <c r="H4" s="4" t="s">
        <v>73</v>
      </c>
      <c r="I4" s="4" t="s">
        <v>68</v>
      </c>
      <c r="J4" s="4" t="s">
        <v>62</v>
      </c>
      <c r="K4" s="4" t="s">
        <v>55</v>
      </c>
      <c r="L4" s="4" t="s">
        <v>47</v>
      </c>
      <c r="M4" s="4" t="s">
        <v>38</v>
      </c>
      <c r="N4" s="4" t="s">
        <v>30</v>
      </c>
      <c r="R4" t="s">
        <v>184</v>
      </c>
    </row>
    <row r="5" spans="2:18">
      <c r="B5" s="15" t="s">
        <v>78</v>
      </c>
      <c r="C5" s="2" t="s">
        <v>18</v>
      </c>
      <c r="D5" s="2" t="s">
        <v>93</v>
      </c>
      <c r="E5" s="9" t="s">
        <v>3</v>
      </c>
      <c r="F5" s="12" t="s">
        <v>91</v>
      </c>
      <c r="G5" s="4" t="s">
        <v>90</v>
      </c>
      <c r="H5" s="4" t="s">
        <v>74</v>
      </c>
      <c r="I5" s="4" t="s">
        <v>69</v>
      </c>
      <c r="J5" s="4" t="s">
        <v>63</v>
      </c>
      <c r="K5" s="4" t="s">
        <v>56</v>
      </c>
      <c r="L5" s="4" t="s">
        <v>48</v>
      </c>
      <c r="M5" s="4" t="s">
        <v>39</v>
      </c>
      <c r="N5" s="4" t="s">
        <v>28</v>
      </c>
      <c r="R5" t="s">
        <v>183</v>
      </c>
    </row>
    <row r="6" spans="2:18">
      <c r="B6" s="2" t="s">
        <v>79</v>
      </c>
      <c r="C6" s="2" t="s">
        <v>98</v>
      </c>
      <c r="D6" s="2" t="s">
        <v>99</v>
      </c>
      <c r="E6" s="2" t="s">
        <v>100</v>
      </c>
      <c r="F6" s="9" t="s">
        <v>4</v>
      </c>
      <c r="G6" s="12" t="s">
        <v>89</v>
      </c>
      <c r="H6" s="4" t="s">
        <v>75</v>
      </c>
      <c r="I6" s="4" t="s">
        <v>70</v>
      </c>
      <c r="J6" s="4" t="s">
        <v>64</v>
      </c>
      <c r="K6" s="4" t="s">
        <v>57</v>
      </c>
      <c r="L6" s="4" t="s">
        <v>49</v>
      </c>
      <c r="M6" s="4" t="s">
        <v>40</v>
      </c>
      <c r="N6" s="4" t="s">
        <v>29</v>
      </c>
    </row>
    <row r="7" spans="2:18">
      <c r="B7" s="2" t="s">
        <v>80</v>
      </c>
      <c r="C7" s="2" t="s">
        <v>101</v>
      </c>
      <c r="D7" s="2" t="s">
        <v>109</v>
      </c>
      <c r="E7" s="2" t="s">
        <v>117</v>
      </c>
      <c r="F7" s="2" t="s">
        <v>125</v>
      </c>
      <c r="G7" s="12">
        <v>99</v>
      </c>
      <c r="H7" s="12" t="s">
        <v>88</v>
      </c>
      <c r="I7" s="4" t="s">
        <v>71</v>
      </c>
      <c r="J7" s="4" t="s">
        <v>65</v>
      </c>
      <c r="K7" s="4" t="s">
        <v>58</v>
      </c>
      <c r="L7" s="4" t="s">
        <v>50</v>
      </c>
      <c r="M7" s="4" t="s">
        <v>41</v>
      </c>
      <c r="N7" s="4" t="s">
        <v>31</v>
      </c>
      <c r="R7" t="s">
        <v>187</v>
      </c>
    </row>
    <row r="8" spans="2:18">
      <c r="B8" s="2" t="s">
        <v>81</v>
      </c>
      <c r="C8" s="2" t="s">
        <v>102</v>
      </c>
      <c r="D8" s="2" t="s">
        <v>110</v>
      </c>
      <c r="E8" s="2" t="s">
        <v>118</v>
      </c>
      <c r="F8" s="2" t="s">
        <v>126</v>
      </c>
      <c r="G8" s="2" t="s">
        <v>133</v>
      </c>
      <c r="H8" s="12">
        <v>88</v>
      </c>
      <c r="I8" s="4" t="s">
        <v>72</v>
      </c>
      <c r="J8" s="4" t="s">
        <v>66</v>
      </c>
      <c r="K8" s="4" t="s">
        <v>59</v>
      </c>
      <c r="L8" s="4" t="s">
        <v>51</v>
      </c>
      <c r="M8" s="4" t="s">
        <v>42</v>
      </c>
      <c r="N8" s="4" t="s">
        <v>32</v>
      </c>
      <c r="R8" t="s">
        <v>188</v>
      </c>
    </row>
    <row r="9" spans="2:18">
      <c r="B9" s="2" t="s">
        <v>82</v>
      </c>
      <c r="C9" s="2" t="s">
        <v>103</v>
      </c>
      <c r="D9" s="2" t="s">
        <v>111</v>
      </c>
      <c r="E9" s="2" t="s">
        <v>119</v>
      </c>
      <c r="F9" s="2" t="s">
        <v>127</v>
      </c>
      <c r="G9" s="2" t="s">
        <v>134</v>
      </c>
      <c r="H9" s="2" t="s">
        <v>140</v>
      </c>
      <c r="I9" s="12">
        <v>77</v>
      </c>
      <c r="J9" s="4" t="s">
        <v>67</v>
      </c>
      <c r="K9" s="4" t="s">
        <v>60</v>
      </c>
      <c r="L9" s="4" t="s">
        <v>52</v>
      </c>
      <c r="M9" s="4" t="s">
        <v>43</v>
      </c>
      <c r="N9" s="4" t="s">
        <v>33</v>
      </c>
      <c r="R9" t="s">
        <v>186</v>
      </c>
    </row>
    <row r="10" spans="2:18">
      <c r="B10" s="2" t="s">
        <v>83</v>
      </c>
      <c r="C10" s="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2" t="s">
        <v>141</v>
      </c>
      <c r="I10" s="2" t="s">
        <v>146</v>
      </c>
      <c r="J10" s="12">
        <v>66</v>
      </c>
      <c r="K10" s="4" t="s">
        <v>61</v>
      </c>
      <c r="L10" s="4" t="s">
        <v>53</v>
      </c>
      <c r="M10" s="4" t="s">
        <v>44</v>
      </c>
      <c r="N10" s="4" t="s">
        <v>34</v>
      </c>
    </row>
    <row r="11" spans="2:18">
      <c r="B11" s="2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2" t="s">
        <v>151</v>
      </c>
      <c r="K11" s="12">
        <v>55</v>
      </c>
      <c r="L11" s="4" t="s">
        <v>54</v>
      </c>
      <c r="M11" s="4" t="s">
        <v>45</v>
      </c>
      <c r="N11" s="4" t="s">
        <v>35</v>
      </c>
    </row>
    <row r="12" spans="2:18">
      <c r="B12" s="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1">
        <v>44</v>
      </c>
      <c r="M12" s="4" t="s">
        <v>46</v>
      </c>
      <c r="N12" s="4" t="s">
        <v>36</v>
      </c>
    </row>
    <row r="13" spans="2:18">
      <c r="B13" s="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1">
        <v>33</v>
      </c>
      <c r="N13" s="4" t="s">
        <v>37</v>
      </c>
    </row>
    <row r="14" spans="2:18">
      <c r="B14" s="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1">
        <v>22</v>
      </c>
    </row>
    <row r="15" spans="2:18">
      <c r="B15" s="10"/>
      <c r="C15" s="671" t="s">
        <v>164</v>
      </c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N15" s="671"/>
    </row>
    <row r="16" spans="2:18">
      <c r="B16" s="16"/>
      <c r="C16" s="672" t="s">
        <v>177</v>
      </c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N16" s="672"/>
    </row>
    <row r="17" spans="2:14">
      <c r="B17" s="14"/>
      <c r="C17" s="672" t="s">
        <v>162</v>
      </c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N17" s="672"/>
    </row>
    <row r="18" spans="2:14">
      <c r="B18" s="13"/>
      <c r="C18" s="672" t="s">
        <v>163</v>
      </c>
      <c r="D18" s="672"/>
      <c r="E18" s="672"/>
      <c r="F18" s="672"/>
      <c r="G18" s="672"/>
      <c r="H18" s="672"/>
      <c r="I18" s="672"/>
      <c r="J18" s="672"/>
      <c r="K18" s="672"/>
      <c r="L18" s="672"/>
      <c r="M18" s="672"/>
      <c r="N18" s="672"/>
    </row>
  </sheetData>
  <mergeCells count="5">
    <mergeCell ref="B1:N1"/>
    <mergeCell ref="C15:N15"/>
    <mergeCell ref="C17:N17"/>
    <mergeCell ref="C18:N18"/>
    <mergeCell ref="C16:N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VolFSBvsEP">
                <anchor moveWithCells="1" sizeWithCells="1">
                  <from>
                    <xdr:col>14</xdr:col>
                    <xdr:colOff>361950</xdr:colOff>
                    <xdr:row>6</xdr:row>
                    <xdr:rowOff>47625</xdr:rowOff>
                  </from>
                  <to>
                    <xdr:col>16</xdr:col>
                    <xdr:colOff>104775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AB18"/>
  <sheetViews>
    <sheetView showGridLines="0" showRowColHeaders="0" workbookViewId="0">
      <selection activeCell="Q11" sqref="Q11"/>
    </sheetView>
  </sheetViews>
  <sheetFormatPr defaultRowHeight="15"/>
  <cols>
    <col min="1" max="1" width="2.5703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28">
      <c r="B1" s="670" t="s">
        <v>178</v>
      </c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N1" s="670"/>
    </row>
    <row r="2" spans="2:28">
      <c r="B2" s="9" t="s">
        <v>0</v>
      </c>
      <c r="C2" s="9" t="s">
        <v>5</v>
      </c>
      <c r="D2" s="9" t="s">
        <v>6</v>
      </c>
      <c r="E2" s="9" t="s">
        <v>7</v>
      </c>
      <c r="F2" s="9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5" t="s">
        <v>14</v>
      </c>
      <c r="M2" s="15" t="s">
        <v>15</v>
      </c>
      <c r="N2" s="15" t="s">
        <v>16</v>
      </c>
      <c r="R2" s="1" t="s">
        <v>182</v>
      </c>
    </row>
    <row r="3" spans="2:28">
      <c r="B3" s="9" t="s">
        <v>76</v>
      </c>
      <c r="C3" s="9" t="s">
        <v>1</v>
      </c>
      <c r="D3" s="9" t="s">
        <v>95</v>
      </c>
      <c r="E3" s="9" t="s">
        <v>94</v>
      </c>
      <c r="F3" s="12" t="s">
        <v>19</v>
      </c>
      <c r="G3" s="12" t="s">
        <v>20</v>
      </c>
      <c r="H3" s="12" t="s">
        <v>21</v>
      </c>
      <c r="I3" s="15" t="s">
        <v>22</v>
      </c>
      <c r="J3" s="15" t="s">
        <v>23</v>
      </c>
      <c r="K3" s="15" t="s">
        <v>24</v>
      </c>
      <c r="L3" s="15" t="s">
        <v>25</v>
      </c>
      <c r="M3" s="4" t="s">
        <v>26</v>
      </c>
      <c r="N3" s="4" t="s">
        <v>27</v>
      </c>
      <c r="R3" t="s">
        <v>185</v>
      </c>
    </row>
    <row r="4" spans="2:28">
      <c r="B4" s="9" t="s">
        <v>77</v>
      </c>
      <c r="C4" s="9" t="s">
        <v>17</v>
      </c>
      <c r="D4" s="9" t="s">
        <v>2</v>
      </c>
      <c r="E4" s="12" t="s">
        <v>97</v>
      </c>
      <c r="F4" s="12" t="s">
        <v>92</v>
      </c>
      <c r="G4" s="12" t="s">
        <v>96</v>
      </c>
      <c r="H4" s="12" t="s">
        <v>73</v>
      </c>
      <c r="I4" s="4" t="s">
        <v>68</v>
      </c>
      <c r="J4" s="4" t="s">
        <v>62</v>
      </c>
      <c r="K4" s="4" t="s">
        <v>55</v>
      </c>
      <c r="L4" s="4" t="s">
        <v>47</v>
      </c>
      <c r="M4" s="4" t="s">
        <v>38</v>
      </c>
      <c r="N4" s="4" t="s">
        <v>30</v>
      </c>
      <c r="R4" t="s">
        <v>184</v>
      </c>
    </row>
    <row r="5" spans="2:28">
      <c r="B5" s="9" t="s">
        <v>78</v>
      </c>
      <c r="C5" s="9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12" t="s">
        <v>74</v>
      </c>
      <c r="I5" s="4" t="s">
        <v>69</v>
      </c>
      <c r="J5" s="4" t="s">
        <v>63</v>
      </c>
      <c r="K5" s="4" t="s">
        <v>56</v>
      </c>
      <c r="L5" s="4" t="s">
        <v>48</v>
      </c>
      <c r="M5" s="4" t="s">
        <v>39</v>
      </c>
      <c r="N5" s="4" t="s">
        <v>28</v>
      </c>
      <c r="R5" t="s">
        <v>183</v>
      </c>
    </row>
    <row r="6" spans="2:28">
      <c r="B6" s="9" t="s">
        <v>79</v>
      </c>
      <c r="C6" s="12" t="s">
        <v>98</v>
      </c>
      <c r="D6" s="2" t="s">
        <v>99</v>
      </c>
      <c r="E6" s="2" t="s">
        <v>100</v>
      </c>
      <c r="F6" s="9" t="s">
        <v>4</v>
      </c>
      <c r="G6" s="12" t="s">
        <v>89</v>
      </c>
      <c r="H6" s="12" t="s">
        <v>75</v>
      </c>
      <c r="I6" s="4" t="s">
        <v>70</v>
      </c>
      <c r="J6" s="4" t="s">
        <v>64</v>
      </c>
      <c r="K6" s="4" t="s">
        <v>57</v>
      </c>
      <c r="L6" s="4" t="s">
        <v>49</v>
      </c>
      <c r="M6" s="4" t="s">
        <v>40</v>
      </c>
      <c r="N6" s="4" t="s">
        <v>29</v>
      </c>
    </row>
    <row r="7" spans="2:28">
      <c r="B7" s="15" t="s">
        <v>80</v>
      </c>
      <c r="C7" s="2" t="s">
        <v>101</v>
      </c>
      <c r="D7" s="2" t="s">
        <v>109</v>
      </c>
      <c r="E7" s="2" t="s">
        <v>117</v>
      </c>
      <c r="F7" s="2" t="s">
        <v>125</v>
      </c>
      <c r="G7" s="9">
        <v>99</v>
      </c>
      <c r="H7" s="12" t="s">
        <v>88</v>
      </c>
      <c r="I7" s="4" t="s">
        <v>71</v>
      </c>
      <c r="J7" s="4" t="s">
        <v>65</v>
      </c>
      <c r="K7" s="4" t="s">
        <v>58</v>
      </c>
      <c r="L7" s="4" t="s">
        <v>50</v>
      </c>
      <c r="M7" s="4" t="s">
        <v>41</v>
      </c>
      <c r="N7" s="4" t="s">
        <v>31</v>
      </c>
      <c r="R7" t="s">
        <v>187</v>
      </c>
    </row>
    <row r="8" spans="2:28">
      <c r="B8" s="15" t="s">
        <v>81</v>
      </c>
      <c r="C8" s="2" t="s">
        <v>102</v>
      </c>
      <c r="D8" s="2" t="s">
        <v>110</v>
      </c>
      <c r="E8" s="2" t="s">
        <v>118</v>
      </c>
      <c r="F8" s="2" t="s">
        <v>126</v>
      </c>
      <c r="G8" s="2" t="s">
        <v>133</v>
      </c>
      <c r="H8" s="9">
        <v>88</v>
      </c>
      <c r="I8" s="12" t="s">
        <v>72</v>
      </c>
      <c r="J8" s="4" t="s">
        <v>66</v>
      </c>
      <c r="K8" s="4" t="s">
        <v>59</v>
      </c>
      <c r="L8" s="4" t="s">
        <v>51</v>
      </c>
      <c r="M8" s="4" t="s">
        <v>42</v>
      </c>
      <c r="N8" s="4" t="s">
        <v>32</v>
      </c>
      <c r="R8" t="s">
        <v>188</v>
      </c>
    </row>
    <row r="9" spans="2:28">
      <c r="B9" s="15" t="s">
        <v>82</v>
      </c>
      <c r="C9" s="2" t="s">
        <v>103</v>
      </c>
      <c r="D9" s="2" t="s">
        <v>111</v>
      </c>
      <c r="E9" s="2" t="s">
        <v>119</v>
      </c>
      <c r="F9" s="2" t="s">
        <v>127</v>
      </c>
      <c r="G9" s="2" t="s">
        <v>134</v>
      </c>
      <c r="H9" s="2" t="s">
        <v>140</v>
      </c>
      <c r="I9" s="12">
        <v>77</v>
      </c>
      <c r="J9" s="12" t="s">
        <v>67</v>
      </c>
      <c r="K9" s="4" t="s">
        <v>60</v>
      </c>
      <c r="L9" s="4" t="s">
        <v>52</v>
      </c>
      <c r="M9" s="4" t="s">
        <v>43</v>
      </c>
      <c r="N9" s="4" t="s">
        <v>33</v>
      </c>
      <c r="R9" t="s">
        <v>186</v>
      </c>
    </row>
    <row r="10" spans="2:28">
      <c r="B10" s="2" t="s">
        <v>83</v>
      </c>
      <c r="C10" s="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2" t="s">
        <v>141</v>
      </c>
      <c r="I10" s="2" t="s">
        <v>146</v>
      </c>
      <c r="J10" s="12">
        <v>66</v>
      </c>
      <c r="K10" s="12" t="s">
        <v>61</v>
      </c>
      <c r="L10" s="4" t="s">
        <v>53</v>
      </c>
      <c r="M10" s="4" t="s">
        <v>44</v>
      </c>
      <c r="N10" s="4" t="s">
        <v>34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2:28">
      <c r="B11" s="2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2" t="s">
        <v>151</v>
      </c>
      <c r="K11" s="12">
        <v>55</v>
      </c>
      <c r="L11" s="4" t="s">
        <v>54</v>
      </c>
      <c r="M11" s="4" t="s">
        <v>45</v>
      </c>
      <c r="N11" s="4" t="s">
        <v>35</v>
      </c>
    </row>
    <row r="12" spans="2:28">
      <c r="B12" s="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2">
        <v>44</v>
      </c>
      <c r="M12" s="4" t="s">
        <v>46</v>
      </c>
      <c r="N12" s="4" t="s">
        <v>36</v>
      </c>
    </row>
    <row r="13" spans="2:28">
      <c r="B13" s="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4" t="s">
        <v>37</v>
      </c>
    </row>
    <row r="14" spans="2:28">
      <c r="B14" s="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28">
      <c r="B15" s="10"/>
      <c r="C15" s="671" t="s">
        <v>164</v>
      </c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N15" s="671"/>
    </row>
    <row r="16" spans="2:28">
      <c r="B16" s="16"/>
      <c r="C16" s="672" t="s">
        <v>177</v>
      </c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N16" s="672"/>
      <c r="O16" s="1" t="s">
        <v>189</v>
      </c>
    </row>
    <row r="17" spans="2:19">
      <c r="B17" s="14"/>
      <c r="C17" s="672" t="s">
        <v>162</v>
      </c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N17" s="672"/>
      <c r="O17" s="1" t="s">
        <v>190</v>
      </c>
      <c r="P17" s="1"/>
      <c r="Q17" s="1"/>
      <c r="R17" s="1"/>
      <c r="S17" s="1"/>
    </row>
    <row r="18" spans="2:19">
      <c r="B18" s="13"/>
      <c r="C18" s="672" t="s">
        <v>163</v>
      </c>
      <c r="D18" s="672"/>
      <c r="E18" s="672"/>
      <c r="F18" s="672"/>
      <c r="G18" s="672"/>
      <c r="H18" s="672"/>
      <c r="I18" s="672"/>
      <c r="J18" s="672"/>
      <c r="K18" s="672"/>
      <c r="L18" s="672"/>
      <c r="M18" s="672"/>
      <c r="N18" s="672"/>
    </row>
  </sheetData>
  <mergeCells count="5">
    <mergeCell ref="B1:N1"/>
    <mergeCell ref="C15:N15"/>
    <mergeCell ref="C16:N16"/>
    <mergeCell ref="C17:N17"/>
    <mergeCell ref="C18:N1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VolFSBvsLP">
                <anchor moveWithCells="1" sizeWithCells="1">
                  <from>
                    <xdr:col>14</xdr:col>
                    <xdr:colOff>514350</xdr:colOff>
                    <xdr:row>6</xdr:row>
                    <xdr:rowOff>114300</xdr:rowOff>
                  </from>
                  <to>
                    <xdr:col>16</xdr:col>
                    <xdr:colOff>257175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R17"/>
  <sheetViews>
    <sheetView showGridLines="0" showRowColHeaders="0" workbookViewId="0">
      <selection activeCell="Q10" sqref="Q10"/>
    </sheetView>
  </sheetViews>
  <sheetFormatPr defaultRowHeight="15"/>
  <cols>
    <col min="1" max="1" width="2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70" t="s">
        <v>179</v>
      </c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N1" s="670"/>
    </row>
    <row r="2" spans="2:18">
      <c r="B2" s="9" t="s">
        <v>0</v>
      </c>
      <c r="C2" s="9" t="s">
        <v>5</v>
      </c>
      <c r="D2" s="12" t="s">
        <v>6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  <c r="R2" s="1" t="s">
        <v>182</v>
      </c>
    </row>
    <row r="3" spans="2:18">
      <c r="B3" s="9" t="s">
        <v>76</v>
      </c>
      <c r="C3" s="9" t="s">
        <v>1</v>
      </c>
      <c r="D3" s="12" t="s">
        <v>95</v>
      </c>
      <c r="E3" s="12" t="s">
        <v>94</v>
      </c>
      <c r="F3" s="12" t="s">
        <v>19</v>
      </c>
      <c r="G3" s="12" t="s">
        <v>20</v>
      </c>
      <c r="H3" s="12" t="s">
        <v>21</v>
      </c>
      <c r="I3" s="12" t="s">
        <v>22</v>
      </c>
      <c r="J3" s="12" t="s">
        <v>23</v>
      </c>
      <c r="K3" s="12" t="s">
        <v>24</v>
      </c>
      <c r="L3" s="12" t="s">
        <v>25</v>
      </c>
      <c r="M3" s="12" t="s">
        <v>26</v>
      </c>
      <c r="N3" s="12" t="s">
        <v>27</v>
      </c>
      <c r="R3" t="s">
        <v>185</v>
      </c>
    </row>
    <row r="4" spans="2:18">
      <c r="B4" s="12" t="s">
        <v>77</v>
      </c>
      <c r="C4" s="12" t="s">
        <v>17</v>
      </c>
      <c r="D4" s="9" t="s">
        <v>2</v>
      </c>
      <c r="E4" s="12" t="s">
        <v>97</v>
      </c>
      <c r="F4" s="12" t="s">
        <v>92</v>
      </c>
      <c r="G4" s="12" t="s">
        <v>96</v>
      </c>
      <c r="H4" s="12" t="s">
        <v>73</v>
      </c>
      <c r="I4" s="12" t="s">
        <v>68</v>
      </c>
      <c r="J4" s="12" t="s">
        <v>62</v>
      </c>
      <c r="K4" s="12" t="s">
        <v>55</v>
      </c>
      <c r="L4" s="4" t="s">
        <v>47</v>
      </c>
      <c r="M4" s="4" t="s">
        <v>38</v>
      </c>
      <c r="N4" s="4" t="s">
        <v>30</v>
      </c>
      <c r="R4" t="s">
        <v>184</v>
      </c>
    </row>
    <row r="5" spans="2:18">
      <c r="B5" s="12" t="s">
        <v>78</v>
      </c>
      <c r="C5" s="12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12" t="s">
        <v>74</v>
      </c>
      <c r="I5" s="12" t="s">
        <v>69</v>
      </c>
      <c r="J5" s="12" t="s">
        <v>63</v>
      </c>
      <c r="K5" s="4" t="s">
        <v>56</v>
      </c>
      <c r="L5" s="4" t="s">
        <v>48</v>
      </c>
      <c r="M5" s="4" t="s">
        <v>39</v>
      </c>
      <c r="N5" s="4" t="s">
        <v>28</v>
      </c>
      <c r="R5" t="s">
        <v>183</v>
      </c>
    </row>
    <row r="6" spans="2:18">
      <c r="B6" s="12" t="s">
        <v>79</v>
      </c>
      <c r="C6" s="9" t="s">
        <v>98</v>
      </c>
      <c r="D6" s="12" t="s">
        <v>99</v>
      </c>
      <c r="E6" s="12" t="s">
        <v>100</v>
      </c>
      <c r="F6" s="9" t="s">
        <v>4</v>
      </c>
      <c r="G6" s="12" t="s">
        <v>89</v>
      </c>
      <c r="H6" s="12" t="s">
        <v>75</v>
      </c>
      <c r="I6" s="12" t="s">
        <v>70</v>
      </c>
      <c r="J6" s="12" t="s">
        <v>64</v>
      </c>
      <c r="K6" s="4" t="s">
        <v>57</v>
      </c>
      <c r="L6" s="4" t="s">
        <v>49</v>
      </c>
      <c r="M6" s="4" t="s">
        <v>40</v>
      </c>
      <c r="N6" s="4" t="s">
        <v>29</v>
      </c>
    </row>
    <row r="7" spans="2:18">
      <c r="B7" s="12" t="s">
        <v>80</v>
      </c>
      <c r="C7" s="12" t="s">
        <v>101</v>
      </c>
      <c r="D7" s="12" t="s">
        <v>109</v>
      </c>
      <c r="E7" s="12" t="s">
        <v>117</v>
      </c>
      <c r="F7" s="12" t="s">
        <v>125</v>
      </c>
      <c r="G7" s="12">
        <v>99</v>
      </c>
      <c r="H7" s="12" t="s">
        <v>88</v>
      </c>
      <c r="I7" s="12" t="s">
        <v>71</v>
      </c>
      <c r="J7" s="12" t="s">
        <v>65</v>
      </c>
      <c r="K7" s="4" t="s">
        <v>58</v>
      </c>
      <c r="L7" s="4" t="s">
        <v>50</v>
      </c>
      <c r="M7" s="4" t="s">
        <v>41</v>
      </c>
      <c r="N7" s="4" t="s">
        <v>31</v>
      </c>
      <c r="R7" t="s">
        <v>187</v>
      </c>
    </row>
    <row r="8" spans="2:18">
      <c r="B8" s="12" t="s">
        <v>81</v>
      </c>
      <c r="C8" s="12" t="s">
        <v>102</v>
      </c>
      <c r="D8" s="12" t="s">
        <v>110</v>
      </c>
      <c r="E8" s="12" t="s">
        <v>118</v>
      </c>
      <c r="F8" s="12" t="s">
        <v>126</v>
      </c>
      <c r="G8" s="12" t="s">
        <v>133</v>
      </c>
      <c r="H8" s="12">
        <v>88</v>
      </c>
      <c r="I8" s="12" t="s">
        <v>72</v>
      </c>
      <c r="J8" s="12" t="s">
        <v>66</v>
      </c>
      <c r="K8" s="12" t="s">
        <v>59</v>
      </c>
      <c r="L8" s="4" t="s">
        <v>51</v>
      </c>
      <c r="M8" s="4" t="s">
        <v>42</v>
      </c>
      <c r="N8" s="4" t="s">
        <v>32</v>
      </c>
      <c r="R8" t="s">
        <v>188</v>
      </c>
    </row>
    <row r="9" spans="2:18">
      <c r="B9" s="12" t="s">
        <v>82</v>
      </c>
      <c r="C9" s="12" t="s">
        <v>103</v>
      </c>
      <c r="D9" s="2" t="s">
        <v>111</v>
      </c>
      <c r="E9" s="2" t="s">
        <v>119</v>
      </c>
      <c r="F9" s="2" t="s">
        <v>127</v>
      </c>
      <c r="G9" s="12" t="s">
        <v>134</v>
      </c>
      <c r="H9" s="12" t="s">
        <v>140</v>
      </c>
      <c r="I9" s="12">
        <v>77</v>
      </c>
      <c r="J9" s="12" t="s">
        <v>67</v>
      </c>
      <c r="K9" s="12" t="s">
        <v>60</v>
      </c>
      <c r="L9" s="12" t="s">
        <v>52</v>
      </c>
      <c r="M9" s="4" t="s">
        <v>43</v>
      </c>
      <c r="N9" s="4" t="s">
        <v>33</v>
      </c>
      <c r="R9" t="s">
        <v>186</v>
      </c>
    </row>
    <row r="10" spans="2:18">
      <c r="B10" s="12" t="s">
        <v>83</v>
      </c>
      <c r="C10" s="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2" t="s">
        <v>141</v>
      </c>
      <c r="I10" s="12" t="s">
        <v>146</v>
      </c>
      <c r="J10" s="12">
        <v>66</v>
      </c>
      <c r="K10" s="12" t="s">
        <v>61</v>
      </c>
      <c r="L10" s="12" t="s">
        <v>53</v>
      </c>
      <c r="M10" s="4" t="s">
        <v>44</v>
      </c>
      <c r="N10" s="4" t="s">
        <v>34</v>
      </c>
    </row>
    <row r="11" spans="2:18">
      <c r="B11" s="9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2" t="s">
        <v>151</v>
      </c>
      <c r="K11" s="12">
        <v>55</v>
      </c>
      <c r="L11" s="12" t="s">
        <v>54</v>
      </c>
      <c r="M11" s="4" t="s">
        <v>45</v>
      </c>
      <c r="N11" s="4" t="s">
        <v>35</v>
      </c>
    </row>
    <row r="12" spans="2:18">
      <c r="B12" s="1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2">
        <v>44</v>
      </c>
      <c r="M12" s="12" t="s">
        <v>46</v>
      </c>
      <c r="N12" s="4" t="s">
        <v>36</v>
      </c>
    </row>
    <row r="13" spans="2:18">
      <c r="B13" s="1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4" t="s">
        <v>37</v>
      </c>
    </row>
    <row r="14" spans="2:18">
      <c r="B14" s="1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18">
      <c r="B15" s="10"/>
      <c r="C15" s="671" t="s">
        <v>164</v>
      </c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N15" s="671"/>
    </row>
    <row r="16" spans="2:18">
      <c r="B16" s="14"/>
      <c r="C16" s="672" t="s">
        <v>162</v>
      </c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N16" s="672"/>
    </row>
    <row r="17" spans="3:14"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N17" s="672"/>
    </row>
  </sheetData>
  <mergeCells count="4">
    <mergeCell ref="B1:N1"/>
    <mergeCell ref="C15:N15"/>
    <mergeCell ref="C16:N16"/>
    <mergeCell ref="C17:N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VolFBBvsEP">
                <anchor moveWithCells="1" sizeWithCells="1">
                  <from>
                    <xdr:col>14</xdr:col>
                    <xdr:colOff>533400</xdr:colOff>
                    <xdr:row>6</xdr:row>
                    <xdr:rowOff>9525</xdr:rowOff>
                  </from>
                  <to>
                    <xdr:col>16</xdr:col>
                    <xdr:colOff>276225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R16"/>
  <sheetViews>
    <sheetView showGridLines="0" showRowColHeaders="0" workbookViewId="0">
      <selection activeCell="P8" sqref="P8"/>
    </sheetView>
  </sheetViews>
  <sheetFormatPr defaultRowHeight="15"/>
  <cols>
    <col min="1" max="1" width="2.71093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70" t="s">
        <v>180</v>
      </c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N1" s="670"/>
    </row>
    <row r="2" spans="2:18">
      <c r="B2" s="9" t="s">
        <v>0</v>
      </c>
      <c r="C2" s="9" t="s">
        <v>5</v>
      </c>
      <c r="D2" s="12" t="s">
        <v>6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9" t="s">
        <v>13</v>
      </c>
      <c r="L2" s="12" t="s">
        <v>14</v>
      </c>
      <c r="M2" s="12" t="s">
        <v>15</v>
      </c>
      <c r="N2" s="12" t="s">
        <v>16</v>
      </c>
      <c r="R2" s="1" t="s">
        <v>182</v>
      </c>
    </row>
    <row r="3" spans="2:18">
      <c r="B3" s="9" t="s">
        <v>76</v>
      </c>
      <c r="C3" s="9" t="s">
        <v>1</v>
      </c>
      <c r="D3" s="12" t="s">
        <v>95</v>
      </c>
      <c r="E3" s="12" t="s">
        <v>94</v>
      </c>
      <c r="F3" s="12" t="s">
        <v>19</v>
      </c>
      <c r="G3" s="12" t="s">
        <v>20</v>
      </c>
      <c r="H3" s="12" t="s">
        <v>21</v>
      </c>
      <c r="I3" s="12" t="s">
        <v>22</v>
      </c>
      <c r="J3" s="12" t="s">
        <v>23</v>
      </c>
      <c r="K3" s="12" t="s">
        <v>24</v>
      </c>
      <c r="L3" s="12" t="s">
        <v>25</v>
      </c>
      <c r="M3" s="12" t="s">
        <v>26</v>
      </c>
      <c r="N3" s="12" t="s">
        <v>27</v>
      </c>
      <c r="R3" t="s">
        <v>185</v>
      </c>
    </row>
    <row r="4" spans="2:18">
      <c r="B4" s="12" t="s">
        <v>77</v>
      </c>
      <c r="C4" s="12" t="s">
        <v>17</v>
      </c>
      <c r="D4" s="9" t="s">
        <v>2</v>
      </c>
      <c r="E4" s="12" t="s">
        <v>97</v>
      </c>
      <c r="F4" s="12" t="s">
        <v>92</v>
      </c>
      <c r="G4" s="9" t="s">
        <v>96</v>
      </c>
      <c r="H4" s="12" t="s">
        <v>73</v>
      </c>
      <c r="I4" s="12" t="s">
        <v>68</v>
      </c>
      <c r="J4" s="12" t="s">
        <v>62</v>
      </c>
      <c r="K4" s="12" t="s">
        <v>55</v>
      </c>
      <c r="L4" s="12" t="s">
        <v>47</v>
      </c>
      <c r="M4" s="12" t="s">
        <v>38</v>
      </c>
      <c r="N4" s="12" t="s">
        <v>30</v>
      </c>
      <c r="R4" t="s">
        <v>184</v>
      </c>
    </row>
    <row r="5" spans="2:18">
      <c r="B5" s="12" t="s">
        <v>78</v>
      </c>
      <c r="C5" s="12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9" t="s">
        <v>74</v>
      </c>
      <c r="I5" s="12" t="s">
        <v>69</v>
      </c>
      <c r="J5" s="12" t="s">
        <v>63</v>
      </c>
      <c r="K5" s="12" t="s">
        <v>56</v>
      </c>
      <c r="L5" s="12" t="s">
        <v>48</v>
      </c>
      <c r="M5" s="12" t="s">
        <v>39</v>
      </c>
      <c r="N5" s="12" t="s">
        <v>28</v>
      </c>
      <c r="R5" t="s">
        <v>183</v>
      </c>
    </row>
    <row r="6" spans="2:18">
      <c r="B6" s="12" t="s">
        <v>79</v>
      </c>
      <c r="C6" s="9" t="s">
        <v>98</v>
      </c>
      <c r="D6" s="12" t="s">
        <v>99</v>
      </c>
      <c r="E6" s="12" t="s">
        <v>100</v>
      </c>
      <c r="F6" s="9" t="s">
        <v>4</v>
      </c>
      <c r="G6" s="12" t="s">
        <v>89</v>
      </c>
      <c r="H6" s="12" t="s">
        <v>75</v>
      </c>
      <c r="I6" s="9" t="s">
        <v>70</v>
      </c>
      <c r="J6" s="12" t="s">
        <v>64</v>
      </c>
      <c r="K6" s="12" t="s">
        <v>57</v>
      </c>
      <c r="L6" s="12" t="s">
        <v>49</v>
      </c>
      <c r="M6" s="12" t="s">
        <v>40</v>
      </c>
      <c r="N6" s="12" t="s">
        <v>29</v>
      </c>
    </row>
    <row r="7" spans="2:18">
      <c r="B7" s="12" t="s">
        <v>80</v>
      </c>
      <c r="C7" s="12" t="s">
        <v>101</v>
      </c>
      <c r="D7" s="12" t="s">
        <v>109</v>
      </c>
      <c r="E7" s="12" t="s">
        <v>117</v>
      </c>
      <c r="F7" s="12" t="s">
        <v>125</v>
      </c>
      <c r="G7" s="12">
        <v>99</v>
      </c>
      <c r="H7" s="12" t="s">
        <v>88</v>
      </c>
      <c r="I7" s="12" t="s">
        <v>71</v>
      </c>
      <c r="J7" s="12" t="s">
        <v>65</v>
      </c>
      <c r="K7" s="12" t="s">
        <v>58</v>
      </c>
      <c r="L7" s="12" t="s">
        <v>50</v>
      </c>
      <c r="M7" s="12" t="s">
        <v>41</v>
      </c>
      <c r="N7" s="12" t="s">
        <v>31</v>
      </c>
      <c r="R7" t="s">
        <v>187</v>
      </c>
    </row>
    <row r="8" spans="2:18">
      <c r="B8" s="12" t="s">
        <v>81</v>
      </c>
      <c r="C8" s="12" t="s">
        <v>102</v>
      </c>
      <c r="D8" s="12" t="s">
        <v>110</v>
      </c>
      <c r="E8" s="12" t="s">
        <v>118</v>
      </c>
      <c r="F8" s="12" t="s">
        <v>126</v>
      </c>
      <c r="G8" s="12" t="s">
        <v>133</v>
      </c>
      <c r="H8" s="12">
        <v>88</v>
      </c>
      <c r="I8" s="12" t="s">
        <v>72</v>
      </c>
      <c r="J8" s="12" t="s">
        <v>66</v>
      </c>
      <c r="K8" s="12" t="s">
        <v>59</v>
      </c>
      <c r="L8" s="12" t="s">
        <v>51</v>
      </c>
      <c r="M8" s="12" t="s">
        <v>42</v>
      </c>
      <c r="N8" s="12" t="s">
        <v>32</v>
      </c>
      <c r="R8" t="s">
        <v>188</v>
      </c>
    </row>
    <row r="9" spans="2:18">
      <c r="B9" s="12" t="s">
        <v>82</v>
      </c>
      <c r="C9" s="12" t="s">
        <v>103</v>
      </c>
      <c r="D9" s="2" t="s">
        <v>111</v>
      </c>
      <c r="E9" s="2" t="s">
        <v>119</v>
      </c>
      <c r="F9" s="2" t="s">
        <v>127</v>
      </c>
      <c r="G9" s="12" t="s">
        <v>134</v>
      </c>
      <c r="H9" s="12" t="s">
        <v>140</v>
      </c>
      <c r="I9" s="12">
        <v>77</v>
      </c>
      <c r="J9" s="12" t="s">
        <v>67</v>
      </c>
      <c r="K9" s="12" t="s">
        <v>60</v>
      </c>
      <c r="L9" s="12" t="s">
        <v>52</v>
      </c>
      <c r="M9" s="12" t="s">
        <v>43</v>
      </c>
      <c r="N9" s="12" t="s">
        <v>33</v>
      </c>
      <c r="R9" t="s">
        <v>186</v>
      </c>
    </row>
    <row r="10" spans="2:18">
      <c r="B10" s="12" t="s">
        <v>83</v>
      </c>
      <c r="C10" s="12" t="s">
        <v>108</v>
      </c>
      <c r="D10" s="2" t="s">
        <v>112</v>
      </c>
      <c r="E10" s="2" t="s">
        <v>120</v>
      </c>
      <c r="F10" s="2" t="s">
        <v>128</v>
      </c>
      <c r="G10" s="2" t="s">
        <v>135</v>
      </c>
      <c r="H10" s="12" t="s">
        <v>141</v>
      </c>
      <c r="I10" s="12" t="s">
        <v>146</v>
      </c>
      <c r="J10" s="12">
        <v>66</v>
      </c>
      <c r="K10" s="12" t="s">
        <v>61</v>
      </c>
      <c r="L10" s="12" t="s">
        <v>53</v>
      </c>
      <c r="M10" s="12" t="s">
        <v>44</v>
      </c>
      <c r="N10" s="12" t="s">
        <v>34</v>
      </c>
    </row>
    <row r="11" spans="2:18">
      <c r="B11" s="9" t="s">
        <v>84</v>
      </c>
      <c r="C11" s="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2" t="s">
        <v>142</v>
      </c>
      <c r="I11" s="2" t="s">
        <v>147</v>
      </c>
      <c r="J11" s="12" t="s">
        <v>151</v>
      </c>
      <c r="K11" s="12">
        <v>55</v>
      </c>
      <c r="L11" s="12" t="s">
        <v>54</v>
      </c>
      <c r="M11" s="12" t="s">
        <v>45</v>
      </c>
      <c r="N11" s="12" t="s">
        <v>35</v>
      </c>
    </row>
    <row r="12" spans="2:18">
      <c r="B12" s="1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2" t="s">
        <v>152</v>
      </c>
      <c r="K12" s="2" t="s">
        <v>155</v>
      </c>
      <c r="L12" s="12">
        <v>44</v>
      </c>
      <c r="M12" s="12" t="s">
        <v>46</v>
      </c>
      <c r="N12" s="12" t="s">
        <v>36</v>
      </c>
    </row>
    <row r="13" spans="2:18">
      <c r="B13" s="1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12" t="s">
        <v>37</v>
      </c>
    </row>
    <row r="14" spans="2:18">
      <c r="B14" s="1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18">
      <c r="B15" s="10"/>
      <c r="C15" s="671" t="s">
        <v>164</v>
      </c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N15" s="671"/>
    </row>
    <row r="16" spans="2:18">
      <c r="B16" s="14"/>
      <c r="C16" s="672" t="s">
        <v>162</v>
      </c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N16" s="672"/>
    </row>
  </sheetData>
  <mergeCells count="3">
    <mergeCell ref="B1:N1"/>
    <mergeCell ref="C15:N15"/>
    <mergeCell ref="C16:N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VolFBBvsMP">
                <anchor moveWithCells="1" sizeWithCells="1">
                  <from>
                    <xdr:col>14</xdr:col>
                    <xdr:colOff>466725</xdr:colOff>
                    <xdr:row>5</xdr:row>
                    <xdr:rowOff>180975</xdr:rowOff>
                  </from>
                  <to>
                    <xdr:col>16</xdr:col>
                    <xdr:colOff>209550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6"/>
  <sheetViews>
    <sheetView showGridLines="0" showRowColHeaders="0" workbookViewId="0">
      <selection activeCell="S13" sqref="S13"/>
    </sheetView>
  </sheetViews>
  <sheetFormatPr defaultRowHeight="15"/>
  <cols>
    <col min="1" max="1" width="2.71093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</cols>
  <sheetData>
    <row r="1" spans="2:18">
      <c r="B1" s="670" t="s">
        <v>181</v>
      </c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N1" s="670"/>
    </row>
    <row r="2" spans="2:18">
      <c r="B2" s="9" t="s">
        <v>0</v>
      </c>
      <c r="C2" s="9" t="s">
        <v>5</v>
      </c>
      <c r="D2" s="9" t="s">
        <v>6</v>
      </c>
      <c r="E2" s="9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  <c r="R2" s="1" t="s">
        <v>182</v>
      </c>
    </row>
    <row r="3" spans="2:18">
      <c r="B3" s="9" t="s">
        <v>76</v>
      </c>
      <c r="C3" s="9" t="s">
        <v>1</v>
      </c>
      <c r="D3" s="12" t="s">
        <v>95</v>
      </c>
      <c r="E3" s="12" t="s">
        <v>94</v>
      </c>
      <c r="F3" s="12" t="s">
        <v>19</v>
      </c>
      <c r="G3" s="12" t="s">
        <v>20</v>
      </c>
      <c r="H3" s="12" t="s">
        <v>21</v>
      </c>
      <c r="I3" s="12" t="s">
        <v>22</v>
      </c>
      <c r="J3" s="12" t="s">
        <v>23</v>
      </c>
      <c r="K3" s="12" t="s">
        <v>24</v>
      </c>
      <c r="L3" s="12" t="s">
        <v>25</v>
      </c>
      <c r="M3" s="12" t="s">
        <v>26</v>
      </c>
      <c r="N3" s="12" t="s">
        <v>27</v>
      </c>
      <c r="R3" t="s">
        <v>185</v>
      </c>
    </row>
    <row r="4" spans="2:18">
      <c r="B4" s="9" t="s">
        <v>77</v>
      </c>
      <c r="C4" s="12" t="s">
        <v>17</v>
      </c>
      <c r="D4" s="9" t="s">
        <v>2</v>
      </c>
      <c r="E4" s="12" t="s">
        <v>97</v>
      </c>
      <c r="F4" s="12" t="s">
        <v>92</v>
      </c>
      <c r="G4" s="12" t="s">
        <v>96</v>
      </c>
      <c r="H4" s="12" t="s">
        <v>73</v>
      </c>
      <c r="I4" s="12" t="s">
        <v>68</v>
      </c>
      <c r="J4" s="12" t="s">
        <v>62</v>
      </c>
      <c r="K4" s="12" t="s">
        <v>55</v>
      </c>
      <c r="L4" s="12" t="s">
        <v>47</v>
      </c>
      <c r="M4" s="12" t="s">
        <v>38</v>
      </c>
      <c r="N4" s="12" t="s">
        <v>30</v>
      </c>
      <c r="R4" t="s">
        <v>184</v>
      </c>
    </row>
    <row r="5" spans="2:18">
      <c r="B5" s="9" t="s">
        <v>78</v>
      </c>
      <c r="C5" s="12" t="s">
        <v>18</v>
      </c>
      <c r="D5" s="12" t="s">
        <v>93</v>
      </c>
      <c r="E5" s="9" t="s">
        <v>3</v>
      </c>
      <c r="F5" s="12" t="s">
        <v>91</v>
      </c>
      <c r="G5" s="12" t="s">
        <v>90</v>
      </c>
      <c r="H5" s="12" t="s">
        <v>74</v>
      </c>
      <c r="I5" s="12" t="s">
        <v>69</v>
      </c>
      <c r="J5" s="12" t="s">
        <v>63</v>
      </c>
      <c r="K5" s="12" t="s">
        <v>56</v>
      </c>
      <c r="L5" s="12" t="s">
        <v>48</v>
      </c>
      <c r="M5" s="12" t="s">
        <v>39</v>
      </c>
      <c r="N5" s="12" t="s">
        <v>28</v>
      </c>
      <c r="R5" t="s">
        <v>183</v>
      </c>
    </row>
    <row r="6" spans="2:18">
      <c r="B6" s="12" t="s">
        <v>79</v>
      </c>
      <c r="C6" s="12" t="s">
        <v>98</v>
      </c>
      <c r="D6" s="12" t="s">
        <v>99</v>
      </c>
      <c r="E6" s="12" t="s">
        <v>100</v>
      </c>
      <c r="F6" s="9" t="s">
        <v>4</v>
      </c>
      <c r="G6" s="12" t="s">
        <v>89</v>
      </c>
      <c r="H6" s="12" t="s">
        <v>75</v>
      </c>
      <c r="I6" s="9" t="s">
        <v>70</v>
      </c>
      <c r="J6" s="12" t="s">
        <v>64</v>
      </c>
      <c r="K6" s="12" t="s">
        <v>57</v>
      </c>
      <c r="L6" s="12" t="s">
        <v>49</v>
      </c>
      <c r="M6" s="12" t="s">
        <v>40</v>
      </c>
      <c r="N6" s="12" t="s">
        <v>29</v>
      </c>
    </row>
    <row r="7" spans="2:18">
      <c r="B7" s="12" t="s">
        <v>80</v>
      </c>
      <c r="C7" s="9" t="s">
        <v>101</v>
      </c>
      <c r="D7" s="12" t="s">
        <v>109</v>
      </c>
      <c r="E7" s="12" t="s">
        <v>117</v>
      </c>
      <c r="F7" s="12" t="s">
        <v>125</v>
      </c>
      <c r="G7" s="9">
        <v>99</v>
      </c>
      <c r="H7" s="12" t="s">
        <v>88</v>
      </c>
      <c r="I7" s="12" t="s">
        <v>71</v>
      </c>
      <c r="J7" s="9" t="s">
        <v>65</v>
      </c>
      <c r="K7" s="12" t="s">
        <v>58</v>
      </c>
      <c r="L7" s="12" t="s">
        <v>50</v>
      </c>
      <c r="M7" s="12" t="s">
        <v>41</v>
      </c>
      <c r="N7" s="12" t="s">
        <v>31</v>
      </c>
      <c r="R7" t="s">
        <v>187</v>
      </c>
    </row>
    <row r="8" spans="2:18">
      <c r="B8" s="12" t="s">
        <v>81</v>
      </c>
      <c r="C8" s="9" t="s">
        <v>102</v>
      </c>
      <c r="D8" s="9" t="s">
        <v>110</v>
      </c>
      <c r="E8" s="12" t="s">
        <v>118</v>
      </c>
      <c r="F8" s="12" t="s">
        <v>126</v>
      </c>
      <c r="G8" s="12" t="s">
        <v>133</v>
      </c>
      <c r="H8" s="9">
        <v>88</v>
      </c>
      <c r="I8" s="12" t="s">
        <v>72</v>
      </c>
      <c r="J8" s="12" t="s">
        <v>66</v>
      </c>
      <c r="K8" s="9" t="s">
        <v>59</v>
      </c>
      <c r="L8" s="12" t="s">
        <v>51</v>
      </c>
      <c r="M8" s="12" t="s">
        <v>42</v>
      </c>
      <c r="N8" s="12" t="s">
        <v>32</v>
      </c>
      <c r="R8" t="s">
        <v>188</v>
      </c>
    </row>
    <row r="9" spans="2:18">
      <c r="B9" s="9" t="s">
        <v>82</v>
      </c>
      <c r="C9" s="12" t="s">
        <v>103</v>
      </c>
      <c r="D9" s="12" t="s">
        <v>111</v>
      </c>
      <c r="E9" s="9" t="s">
        <v>119</v>
      </c>
      <c r="F9" s="9" t="s">
        <v>127</v>
      </c>
      <c r="G9" s="12" t="s">
        <v>134</v>
      </c>
      <c r="H9" s="12" t="s">
        <v>140</v>
      </c>
      <c r="I9" s="12">
        <v>77</v>
      </c>
      <c r="J9" s="12" t="s">
        <v>67</v>
      </c>
      <c r="K9" s="12" t="s">
        <v>60</v>
      </c>
      <c r="L9" s="12" t="s">
        <v>52</v>
      </c>
      <c r="M9" s="12" t="s">
        <v>43</v>
      </c>
      <c r="N9" s="12" t="s">
        <v>33</v>
      </c>
      <c r="R9" t="s">
        <v>186</v>
      </c>
    </row>
    <row r="10" spans="2:18">
      <c r="B10" s="12" t="s">
        <v>83</v>
      </c>
      <c r="C10" s="12" t="s">
        <v>108</v>
      </c>
      <c r="D10" s="12" t="s">
        <v>112</v>
      </c>
      <c r="E10" s="2" t="s">
        <v>120</v>
      </c>
      <c r="F10" s="2" t="s">
        <v>128</v>
      </c>
      <c r="G10" s="12" t="s">
        <v>135</v>
      </c>
      <c r="H10" s="12" t="s">
        <v>141</v>
      </c>
      <c r="I10" s="12" t="s">
        <v>146</v>
      </c>
      <c r="J10" s="12">
        <v>66</v>
      </c>
      <c r="K10" s="12" t="s">
        <v>61</v>
      </c>
      <c r="L10" s="12" t="s">
        <v>53</v>
      </c>
      <c r="M10" s="12" t="s">
        <v>44</v>
      </c>
      <c r="N10" s="12" t="s">
        <v>34</v>
      </c>
    </row>
    <row r="11" spans="2:18">
      <c r="B11" s="12" t="s">
        <v>84</v>
      </c>
      <c r="C11" s="12" t="s">
        <v>104</v>
      </c>
      <c r="D11" s="2" t="s">
        <v>113</v>
      </c>
      <c r="E11" s="2" t="s">
        <v>121</v>
      </c>
      <c r="F11" s="2" t="s">
        <v>129</v>
      </c>
      <c r="G11" s="2" t="s">
        <v>136</v>
      </c>
      <c r="H11" s="12" t="s">
        <v>142</v>
      </c>
      <c r="I11" s="12" t="s">
        <v>147</v>
      </c>
      <c r="J11" s="12" t="s">
        <v>151</v>
      </c>
      <c r="K11" s="12">
        <v>55</v>
      </c>
      <c r="L11" s="12" t="s">
        <v>54</v>
      </c>
      <c r="M11" s="12" t="s">
        <v>45</v>
      </c>
      <c r="N11" s="12" t="s">
        <v>35</v>
      </c>
    </row>
    <row r="12" spans="2:18">
      <c r="B12" s="12" t="s">
        <v>85</v>
      </c>
      <c r="C12" s="2" t="s">
        <v>105</v>
      </c>
      <c r="D12" s="2" t="s">
        <v>114</v>
      </c>
      <c r="E12" s="2" t="s">
        <v>122</v>
      </c>
      <c r="F12" s="2" t="s">
        <v>130</v>
      </c>
      <c r="G12" s="2" t="s">
        <v>137</v>
      </c>
      <c r="H12" s="2" t="s">
        <v>143</v>
      </c>
      <c r="I12" s="2" t="s">
        <v>148</v>
      </c>
      <c r="J12" s="12" t="s">
        <v>152</v>
      </c>
      <c r="K12" s="12" t="s">
        <v>155</v>
      </c>
      <c r="L12" s="12">
        <v>44</v>
      </c>
      <c r="M12" s="12" t="s">
        <v>46</v>
      </c>
      <c r="N12" s="12" t="s">
        <v>36</v>
      </c>
    </row>
    <row r="13" spans="2:18">
      <c r="B13" s="12" t="s">
        <v>86</v>
      </c>
      <c r="C13" s="2" t="s">
        <v>106</v>
      </c>
      <c r="D13" s="2" t="s">
        <v>115</v>
      </c>
      <c r="E13" s="2" t="s">
        <v>123</v>
      </c>
      <c r="F13" s="2" t="s">
        <v>131</v>
      </c>
      <c r="G13" s="2" t="s">
        <v>138</v>
      </c>
      <c r="H13" s="2" t="s">
        <v>144</v>
      </c>
      <c r="I13" s="2" t="s">
        <v>149</v>
      </c>
      <c r="J13" s="2" t="s">
        <v>153</v>
      </c>
      <c r="K13" s="2" t="s">
        <v>156</v>
      </c>
      <c r="L13" s="2" t="s">
        <v>158</v>
      </c>
      <c r="M13" s="12">
        <v>33</v>
      </c>
      <c r="N13" s="12" t="s">
        <v>37</v>
      </c>
    </row>
    <row r="14" spans="2:18">
      <c r="B14" s="12" t="s">
        <v>87</v>
      </c>
      <c r="C14" s="2" t="s">
        <v>107</v>
      </c>
      <c r="D14" s="2" t="s">
        <v>116</v>
      </c>
      <c r="E14" s="2" t="s">
        <v>124</v>
      </c>
      <c r="F14" s="2" t="s">
        <v>132</v>
      </c>
      <c r="G14" s="2" t="s">
        <v>139</v>
      </c>
      <c r="H14" s="2" t="s">
        <v>145</v>
      </c>
      <c r="I14" s="2" t="s">
        <v>150</v>
      </c>
      <c r="J14" s="2" t="s">
        <v>154</v>
      </c>
      <c r="K14" s="2" t="s">
        <v>157</v>
      </c>
      <c r="L14" s="2" t="s">
        <v>160</v>
      </c>
      <c r="M14" s="2" t="s">
        <v>159</v>
      </c>
      <c r="N14" s="12">
        <v>22</v>
      </c>
    </row>
    <row r="15" spans="2:18">
      <c r="B15" s="10"/>
      <c r="C15" s="671" t="s">
        <v>164</v>
      </c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N15" s="671"/>
    </row>
    <row r="16" spans="2:18">
      <c r="B16" s="14"/>
      <c r="C16" s="672" t="s">
        <v>162</v>
      </c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N16" s="672"/>
    </row>
  </sheetData>
  <mergeCells count="3">
    <mergeCell ref="B1:N1"/>
    <mergeCell ref="C15:N15"/>
    <mergeCell ref="C16:N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Button 1">
              <controlPr defaultSize="0" print="0" autoFill="0" autoPict="0" macro="[0]!VolFBBvsLP">
                <anchor moveWithCells="1" sizeWithCells="1">
                  <from>
                    <xdr:col>14</xdr:col>
                    <xdr:colOff>495300</xdr:colOff>
                    <xdr:row>5</xdr:row>
                    <xdr:rowOff>57150</xdr:rowOff>
                  </from>
                  <to>
                    <xdr:col>16</xdr:col>
                    <xdr:colOff>238125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A17"/>
  <sheetViews>
    <sheetView showGridLines="0" showRowColHeaders="0" workbookViewId="0">
      <selection activeCell="AC15" sqref="AC15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3.5703125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70" t="s">
        <v>166</v>
      </c>
      <c r="B1" s="670"/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O1" s="670" t="s">
        <v>172</v>
      </c>
      <c r="P1" s="670"/>
      <c r="Q1" s="670"/>
      <c r="R1" s="670"/>
      <c r="S1" s="670"/>
      <c r="T1" s="670"/>
      <c r="U1" s="670"/>
      <c r="V1" s="670"/>
      <c r="W1" s="670"/>
      <c r="X1" s="670"/>
      <c r="Y1" s="670"/>
      <c r="Z1" s="670"/>
      <c r="AA1" s="670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4" t="s">
        <v>9</v>
      </c>
      <c r="G2" s="4" t="s">
        <v>10</v>
      </c>
      <c r="H2" s="4" t="s">
        <v>11</v>
      </c>
      <c r="I2" s="4" t="s">
        <v>12</v>
      </c>
      <c r="J2" s="4" t="s">
        <v>13</v>
      </c>
      <c r="K2" s="4" t="s">
        <v>14</v>
      </c>
      <c r="L2" s="4" t="s">
        <v>15</v>
      </c>
      <c r="M2" s="4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4" t="s">
        <v>9</v>
      </c>
      <c r="U2" s="4" t="s">
        <v>10</v>
      </c>
      <c r="V2" s="4" t="s">
        <v>11</v>
      </c>
      <c r="W2" s="4" t="s">
        <v>12</v>
      </c>
      <c r="X2" s="4" t="s">
        <v>13</v>
      </c>
      <c r="Y2" s="4" t="s">
        <v>14</v>
      </c>
      <c r="Z2" s="4" t="s">
        <v>15</v>
      </c>
      <c r="AA2" s="4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4" t="s">
        <v>19</v>
      </c>
      <c r="F3" s="4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4" t="s">
        <v>19</v>
      </c>
      <c r="T3" s="4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2" t="s">
        <v>17</v>
      </c>
      <c r="C4" s="9" t="s">
        <v>2</v>
      </c>
      <c r="D4" s="4" t="s">
        <v>97</v>
      </c>
      <c r="E4" s="4" t="s">
        <v>92</v>
      </c>
      <c r="F4" s="4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9" t="s">
        <v>17</v>
      </c>
      <c r="Q4" s="9" t="s">
        <v>2</v>
      </c>
      <c r="R4" s="4" t="s">
        <v>97</v>
      </c>
      <c r="S4" s="4" t="s">
        <v>92</v>
      </c>
      <c r="T4" s="4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2" t="s">
        <v>78</v>
      </c>
      <c r="B5" s="2" t="s">
        <v>18</v>
      </c>
      <c r="C5" s="2" t="s">
        <v>93</v>
      </c>
      <c r="D5" s="9" t="s">
        <v>3</v>
      </c>
      <c r="E5" s="4" t="s">
        <v>91</v>
      </c>
      <c r="F5" s="4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2" t="s">
        <v>18</v>
      </c>
      <c r="Q5" s="2" t="s">
        <v>93</v>
      </c>
      <c r="R5" s="9" t="s">
        <v>3</v>
      </c>
      <c r="S5" s="4" t="s">
        <v>91</v>
      </c>
      <c r="T5" s="4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4" t="s">
        <v>89</v>
      </c>
      <c r="G6" s="4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2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4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9" t="s">
        <v>88</v>
      </c>
      <c r="H7" s="4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4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9" t="s">
        <v>72</v>
      </c>
      <c r="I8" s="4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4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9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1">
        <v>66</v>
      </c>
      <c r="J10" s="4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1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8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71" t="s">
        <v>164</v>
      </c>
      <c r="C15" s="671"/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O15" s="10"/>
      <c r="P15" s="671" t="s">
        <v>164</v>
      </c>
      <c r="Q15" s="671"/>
      <c r="R15" s="671"/>
      <c r="S15" s="671"/>
      <c r="T15" s="671"/>
      <c r="U15" s="671"/>
      <c r="V15" s="671"/>
      <c r="W15" s="671"/>
      <c r="X15" s="671"/>
      <c r="Y15" s="671"/>
      <c r="Z15" s="671"/>
      <c r="AA15" s="671"/>
    </row>
    <row r="16" spans="1:27">
      <c r="A16" s="14"/>
      <c r="B16" s="672" t="s">
        <v>162</v>
      </c>
      <c r="C16" s="672"/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O16" s="14"/>
      <c r="P16" s="672" t="s">
        <v>162</v>
      </c>
      <c r="Q16" s="672"/>
      <c r="R16" s="672"/>
      <c r="S16" s="672"/>
      <c r="T16" s="672"/>
      <c r="U16" s="672"/>
      <c r="V16" s="672"/>
      <c r="W16" s="672"/>
      <c r="X16" s="672"/>
      <c r="Y16" s="672"/>
      <c r="Z16" s="672"/>
      <c r="AA16" s="672"/>
    </row>
    <row r="17" spans="1:27">
      <c r="A17" s="13"/>
      <c r="B17" s="672" t="s">
        <v>163</v>
      </c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O17" s="13"/>
      <c r="P17" s="672" t="s">
        <v>165</v>
      </c>
      <c r="Q17" s="672"/>
      <c r="R17" s="672"/>
      <c r="S17" s="672"/>
      <c r="T17" s="672"/>
      <c r="U17" s="672"/>
      <c r="V17" s="672"/>
      <c r="W17" s="672"/>
      <c r="X17" s="672"/>
      <c r="Y17" s="672"/>
      <c r="Z17" s="672"/>
      <c r="AA17" s="672"/>
    </row>
  </sheetData>
  <mergeCells count="8">
    <mergeCell ref="A1:M1"/>
    <mergeCell ref="B15:M15"/>
    <mergeCell ref="B16:M16"/>
    <mergeCell ref="B17:M17"/>
    <mergeCell ref="O1:AA1"/>
    <mergeCell ref="P15:AA15"/>
    <mergeCell ref="P16:AA16"/>
    <mergeCell ref="P17:AA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VoltFMP">
                <anchor moveWithCells="1" sizeWithCells="1">
                  <from>
                    <xdr:col>27</xdr:col>
                    <xdr:colOff>457200</xdr:colOff>
                    <xdr:row>8</xdr:row>
                    <xdr:rowOff>180975</xdr:rowOff>
                  </from>
                  <to>
                    <xdr:col>29</xdr:col>
                    <xdr:colOff>200025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A17"/>
  <sheetViews>
    <sheetView showGridLines="0" showRowColHeaders="0" workbookViewId="0">
      <selection activeCell="AC10" sqref="AC10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4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70" t="s">
        <v>167</v>
      </c>
      <c r="B1" s="670"/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O1" s="670" t="s">
        <v>173</v>
      </c>
      <c r="P1" s="670"/>
      <c r="Q1" s="670"/>
      <c r="R1" s="670"/>
      <c r="S1" s="670"/>
      <c r="T1" s="670"/>
      <c r="U1" s="670"/>
      <c r="V1" s="670"/>
      <c r="W1" s="670"/>
      <c r="X1" s="670"/>
      <c r="Y1" s="670"/>
      <c r="Z1" s="670"/>
      <c r="AA1" s="670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12" t="s">
        <v>9</v>
      </c>
      <c r="U2" s="12" t="s">
        <v>10</v>
      </c>
      <c r="V2" s="12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12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12" t="s">
        <v>19</v>
      </c>
      <c r="T3" s="12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11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1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9" t="s">
        <v>78</v>
      </c>
      <c r="B5" s="2" t="s">
        <v>18</v>
      </c>
      <c r="C5" s="2" t="s">
        <v>93</v>
      </c>
      <c r="D5" s="9" t="s">
        <v>3</v>
      </c>
      <c r="E5" s="12" t="s">
        <v>91</v>
      </c>
      <c r="F5" s="12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2" t="s">
        <v>18</v>
      </c>
      <c r="Q5" s="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4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2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4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4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12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12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12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4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12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71" t="s">
        <v>164</v>
      </c>
      <c r="C15" s="671"/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O15" s="10"/>
      <c r="P15" s="671" t="s">
        <v>164</v>
      </c>
      <c r="Q15" s="671"/>
      <c r="R15" s="671"/>
      <c r="S15" s="671"/>
      <c r="T15" s="671"/>
      <c r="U15" s="671"/>
      <c r="V15" s="671"/>
      <c r="W15" s="671"/>
      <c r="X15" s="671"/>
      <c r="Y15" s="671"/>
      <c r="Z15" s="671"/>
      <c r="AA15" s="671"/>
    </row>
    <row r="16" spans="1:27">
      <c r="A16" s="14"/>
      <c r="B16" s="672" t="s">
        <v>162</v>
      </c>
      <c r="C16" s="672"/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O16" s="14"/>
      <c r="P16" s="672" t="s">
        <v>162</v>
      </c>
      <c r="Q16" s="672"/>
      <c r="R16" s="672"/>
      <c r="S16" s="672"/>
      <c r="T16" s="672"/>
      <c r="U16" s="672"/>
      <c r="V16" s="672"/>
      <c r="W16" s="672"/>
      <c r="X16" s="672"/>
      <c r="Y16" s="672"/>
      <c r="Z16" s="672"/>
      <c r="AA16" s="672"/>
    </row>
    <row r="17" spans="1:27">
      <c r="A17" s="13"/>
      <c r="B17" s="672" t="s">
        <v>176</v>
      </c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O17" s="13"/>
      <c r="P17" s="672" t="s">
        <v>176</v>
      </c>
      <c r="Q17" s="672"/>
      <c r="R17" s="672"/>
      <c r="S17" s="672"/>
      <c r="T17" s="672"/>
      <c r="U17" s="672"/>
      <c r="V17" s="672"/>
      <c r="W17" s="672"/>
      <c r="X17" s="672"/>
      <c r="Y17" s="672"/>
      <c r="Z17" s="672"/>
      <c r="AA17" s="672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VolFCO">
                <anchor moveWithCells="1" sizeWithCells="1">
                  <from>
                    <xdr:col>28</xdr:col>
                    <xdr:colOff>47625</xdr:colOff>
                    <xdr:row>7</xdr:row>
                    <xdr:rowOff>66675</xdr:rowOff>
                  </from>
                  <to>
                    <xdr:col>29</xdr:col>
                    <xdr:colOff>400050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A56"/>
  <sheetViews>
    <sheetView showGridLines="0" zoomScale="80" zoomScaleNormal="80" workbookViewId="0">
      <selection activeCell="T7" sqref="T7"/>
    </sheetView>
  </sheetViews>
  <sheetFormatPr defaultRowHeight="15"/>
  <cols>
    <col min="1" max="1" width="0.28515625" customWidth="1"/>
    <col min="2" max="2" width="5.85546875" bestFit="1" customWidth="1"/>
    <col min="3" max="14" width="4.7109375" customWidth="1"/>
    <col min="15" max="15" width="0.85546875" customWidth="1"/>
    <col min="16" max="16" width="5.85546875" bestFit="1" customWidth="1"/>
    <col min="17" max="28" width="4.7109375" customWidth="1"/>
    <col min="29" max="29" width="0.85546875" customWidth="1"/>
    <col min="30" max="30" width="5.85546875" bestFit="1" customWidth="1"/>
    <col min="31" max="42" width="4.7109375" customWidth="1"/>
    <col min="43" max="43" width="0.85546875" customWidth="1"/>
    <col min="44" max="44" width="5.85546875" bestFit="1" customWidth="1"/>
    <col min="45" max="56" width="4.7109375" customWidth="1"/>
    <col min="57" max="57" width="0.85546875" customWidth="1"/>
    <col min="58" max="58" width="5.85546875" bestFit="1" customWidth="1"/>
    <col min="59" max="69" width="4.7109375" customWidth="1"/>
    <col min="70" max="70" width="0.85546875" customWidth="1"/>
    <col min="71" max="71" width="5.85546875" bestFit="1" customWidth="1"/>
    <col min="72" max="79" width="4.7109375" customWidth="1"/>
    <col min="80" max="83" width="4.85546875" bestFit="1" customWidth="1"/>
  </cols>
  <sheetData>
    <row r="1" spans="1:79" ht="15.75" thickBot="1"/>
    <row r="2" spans="1:79">
      <c r="B2" s="652"/>
      <c r="C2" s="653"/>
      <c r="D2" s="653"/>
      <c r="E2" s="653"/>
      <c r="F2" s="653"/>
      <c r="G2" s="654"/>
    </row>
    <row r="3" spans="1:79" ht="15.75" thickBot="1">
      <c r="B3" s="655"/>
      <c r="C3" s="656"/>
      <c r="D3" s="656"/>
      <c r="E3" s="656"/>
      <c r="F3" s="656"/>
      <c r="G3" s="657"/>
    </row>
    <row r="4" spans="1:79" ht="15" customHeight="1" thickBot="1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</row>
    <row r="5" spans="1:79" ht="15" customHeight="1">
      <c r="A5" s="43"/>
      <c r="B5" s="647" t="s">
        <v>272</v>
      </c>
      <c r="C5" s="648"/>
      <c r="D5" s="648"/>
      <c r="E5" s="648"/>
      <c r="F5" s="648"/>
      <c r="G5" s="648"/>
      <c r="H5" s="648"/>
      <c r="I5" s="648"/>
      <c r="J5" s="648"/>
      <c r="K5" s="648"/>
      <c r="L5" s="648"/>
      <c r="M5" s="648"/>
      <c r="N5" s="650"/>
      <c r="P5" s="647" t="s">
        <v>273</v>
      </c>
      <c r="Q5" s="648"/>
      <c r="R5" s="648"/>
      <c r="S5" s="648"/>
      <c r="T5" s="648"/>
      <c r="U5" s="648"/>
      <c r="V5" s="648"/>
      <c r="W5" s="648"/>
      <c r="X5" s="648"/>
      <c r="Y5" s="648"/>
      <c r="Z5" s="648"/>
      <c r="AA5" s="648"/>
      <c r="AB5" s="649"/>
      <c r="BE5" s="147"/>
      <c r="BF5" s="147"/>
      <c r="BG5" s="147"/>
      <c r="BH5" s="147"/>
      <c r="BI5" s="147"/>
      <c r="BJ5" s="147"/>
      <c r="BK5" s="147"/>
      <c r="BL5" s="147"/>
      <c r="BM5" s="147"/>
      <c r="BN5" s="147"/>
      <c r="BO5" s="147"/>
      <c r="BP5" s="147"/>
      <c r="BQ5" s="147"/>
      <c r="BR5" s="147"/>
    </row>
    <row r="6" spans="1:79" ht="15" customHeight="1">
      <c r="A6" s="43"/>
      <c r="B6" s="531" t="s">
        <v>0</v>
      </c>
      <c r="C6" s="532" t="s">
        <v>5</v>
      </c>
      <c r="D6" s="533" t="s">
        <v>6</v>
      </c>
      <c r="E6" s="534" t="s">
        <v>7</v>
      </c>
      <c r="F6" s="534" t="s">
        <v>8</v>
      </c>
      <c r="G6" s="534" t="s">
        <v>9</v>
      </c>
      <c r="H6" s="535" t="s">
        <v>10</v>
      </c>
      <c r="I6" s="535" t="s">
        <v>11</v>
      </c>
      <c r="J6" s="535" t="s">
        <v>12</v>
      </c>
      <c r="K6" s="535" t="s">
        <v>13</v>
      </c>
      <c r="L6" s="535" t="s">
        <v>14</v>
      </c>
      <c r="M6" s="535" t="s">
        <v>15</v>
      </c>
      <c r="N6" s="536" t="s">
        <v>16</v>
      </c>
      <c r="P6" s="531" t="s">
        <v>0</v>
      </c>
      <c r="Q6" s="532" t="s">
        <v>5</v>
      </c>
      <c r="R6" s="533" t="s">
        <v>6</v>
      </c>
      <c r="S6" s="534" t="s">
        <v>7</v>
      </c>
      <c r="T6" s="534" t="s">
        <v>8</v>
      </c>
      <c r="U6" s="534" t="s">
        <v>9</v>
      </c>
      <c r="V6" s="535" t="s">
        <v>10</v>
      </c>
      <c r="W6" s="535" t="s">
        <v>11</v>
      </c>
      <c r="X6" s="535" t="s">
        <v>12</v>
      </c>
      <c r="Y6" s="535" t="s">
        <v>13</v>
      </c>
      <c r="Z6" s="535" t="s">
        <v>14</v>
      </c>
      <c r="AA6" s="535" t="s">
        <v>15</v>
      </c>
      <c r="AB6" s="536" t="s">
        <v>16</v>
      </c>
      <c r="BE6" s="149"/>
      <c r="BF6" s="149"/>
      <c r="BG6" s="149"/>
      <c r="BH6" s="149"/>
      <c r="BI6" s="149"/>
      <c r="BJ6" s="149"/>
      <c r="BK6" s="149"/>
      <c r="BL6" s="149"/>
      <c r="BM6" s="149"/>
      <c r="BN6" s="149"/>
      <c r="BO6" s="149"/>
      <c r="BP6" s="149"/>
      <c r="BQ6" s="149"/>
      <c r="BR6" s="149"/>
    </row>
    <row r="7" spans="1:79" ht="15" customHeight="1">
      <c r="A7" s="43"/>
      <c r="B7" s="537" t="s">
        <v>76</v>
      </c>
      <c r="C7" s="532" t="s">
        <v>1</v>
      </c>
      <c r="D7" s="534" t="s">
        <v>95</v>
      </c>
      <c r="E7" s="534" t="s">
        <v>94</v>
      </c>
      <c r="F7" s="534" t="s">
        <v>19</v>
      </c>
      <c r="G7" s="535" t="s">
        <v>20</v>
      </c>
      <c r="H7" s="535" t="s">
        <v>21</v>
      </c>
      <c r="I7" s="535" t="s">
        <v>22</v>
      </c>
      <c r="J7" s="535" t="s">
        <v>23</v>
      </c>
      <c r="K7" s="535" t="s">
        <v>24</v>
      </c>
      <c r="L7" s="535" t="s">
        <v>25</v>
      </c>
      <c r="M7" s="535" t="s">
        <v>26</v>
      </c>
      <c r="N7" s="536" t="s">
        <v>191</v>
      </c>
      <c r="P7" s="531" t="s">
        <v>76</v>
      </c>
      <c r="Q7" s="532" t="s">
        <v>1</v>
      </c>
      <c r="R7" s="534" t="s">
        <v>95</v>
      </c>
      <c r="S7" s="534" t="s">
        <v>94</v>
      </c>
      <c r="T7" s="534" t="s">
        <v>19</v>
      </c>
      <c r="U7" s="535" t="s">
        <v>20</v>
      </c>
      <c r="V7" s="535" t="s">
        <v>21</v>
      </c>
      <c r="W7" s="535" t="s">
        <v>22</v>
      </c>
      <c r="X7" s="535" t="s">
        <v>23</v>
      </c>
      <c r="Y7" s="535" t="s">
        <v>24</v>
      </c>
      <c r="Z7" s="535" t="s">
        <v>25</v>
      </c>
      <c r="AA7" s="535" t="s">
        <v>26</v>
      </c>
      <c r="AB7" s="536" t="s">
        <v>191</v>
      </c>
      <c r="BE7" s="530"/>
      <c r="BF7" s="530"/>
      <c r="BG7" s="530"/>
      <c r="BH7" s="530"/>
      <c r="BI7" s="530"/>
      <c r="BJ7" s="530"/>
      <c r="BK7" s="530"/>
      <c r="BL7" s="530"/>
      <c r="BM7" s="530"/>
      <c r="BN7" s="530"/>
      <c r="BO7" s="530"/>
      <c r="BP7" s="530"/>
      <c r="BQ7" s="530"/>
      <c r="BR7" s="530"/>
    </row>
    <row r="8" spans="1:79" ht="15" customHeight="1">
      <c r="A8" s="43"/>
      <c r="B8" s="538" t="s">
        <v>77</v>
      </c>
      <c r="C8" s="539" t="s">
        <v>17</v>
      </c>
      <c r="D8" s="532" t="s">
        <v>2</v>
      </c>
      <c r="E8" s="534" t="s">
        <v>97</v>
      </c>
      <c r="F8" s="534" t="s">
        <v>92</v>
      </c>
      <c r="G8" s="535" t="s">
        <v>96</v>
      </c>
      <c r="H8" s="535" t="s">
        <v>73</v>
      </c>
      <c r="I8" s="535" t="s">
        <v>68</v>
      </c>
      <c r="J8" s="535" t="s">
        <v>62</v>
      </c>
      <c r="K8" s="535" t="s">
        <v>55</v>
      </c>
      <c r="L8" s="535" t="s">
        <v>47</v>
      </c>
      <c r="M8" s="535" t="s">
        <v>38</v>
      </c>
      <c r="N8" s="536" t="s">
        <v>30</v>
      </c>
      <c r="P8" s="549" t="s">
        <v>77</v>
      </c>
      <c r="Q8" s="533" t="s">
        <v>17</v>
      </c>
      <c r="R8" s="532" t="s">
        <v>2</v>
      </c>
      <c r="S8" s="534" t="s">
        <v>97</v>
      </c>
      <c r="T8" s="534" t="s">
        <v>92</v>
      </c>
      <c r="U8" s="535" t="s">
        <v>96</v>
      </c>
      <c r="V8" s="535" t="s">
        <v>73</v>
      </c>
      <c r="W8" s="535" t="s">
        <v>68</v>
      </c>
      <c r="X8" s="535" t="s">
        <v>62</v>
      </c>
      <c r="Y8" s="535" t="s">
        <v>55</v>
      </c>
      <c r="Z8" s="535" t="s">
        <v>47</v>
      </c>
      <c r="AA8" s="535" t="s">
        <v>38</v>
      </c>
      <c r="AB8" s="536" t="s">
        <v>30</v>
      </c>
      <c r="BE8" s="530"/>
      <c r="BF8" s="530"/>
      <c r="BG8" s="530"/>
      <c r="BH8" s="530"/>
      <c r="BI8" s="530"/>
      <c r="BJ8" s="530"/>
      <c r="BK8" s="530"/>
      <c r="BL8" s="530"/>
      <c r="BM8" s="530"/>
      <c r="BN8" s="530"/>
      <c r="BO8" s="530"/>
      <c r="BP8" s="530"/>
      <c r="BQ8" s="530"/>
      <c r="BR8" s="530"/>
    </row>
    <row r="9" spans="1:79" ht="15" customHeight="1">
      <c r="A9" s="43"/>
      <c r="B9" s="540" t="s">
        <v>78</v>
      </c>
      <c r="C9" s="535" t="s">
        <v>18</v>
      </c>
      <c r="D9" s="535" t="s">
        <v>93</v>
      </c>
      <c r="E9" s="532" t="s">
        <v>3</v>
      </c>
      <c r="F9" s="534" t="s">
        <v>91</v>
      </c>
      <c r="G9" s="535" t="s">
        <v>90</v>
      </c>
      <c r="H9" s="535" t="s">
        <v>74</v>
      </c>
      <c r="I9" s="535" t="s">
        <v>69</v>
      </c>
      <c r="J9" s="535" t="s">
        <v>63</v>
      </c>
      <c r="K9" s="535" t="s">
        <v>56</v>
      </c>
      <c r="L9" s="535" t="s">
        <v>48</v>
      </c>
      <c r="M9" s="535" t="s">
        <v>39</v>
      </c>
      <c r="N9" s="536" t="s">
        <v>28</v>
      </c>
      <c r="P9" s="550" t="s">
        <v>78</v>
      </c>
      <c r="Q9" s="535" t="s">
        <v>18</v>
      </c>
      <c r="R9" s="535" t="s">
        <v>93</v>
      </c>
      <c r="S9" s="532" t="s">
        <v>3</v>
      </c>
      <c r="T9" s="534" t="s">
        <v>91</v>
      </c>
      <c r="U9" s="535" t="s">
        <v>90</v>
      </c>
      <c r="V9" s="535" t="s">
        <v>74</v>
      </c>
      <c r="W9" s="535" t="s">
        <v>69</v>
      </c>
      <c r="X9" s="535" t="s">
        <v>63</v>
      </c>
      <c r="Y9" s="535" t="s">
        <v>56</v>
      </c>
      <c r="Z9" s="543" t="s">
        <v>48</v>
      </c>
      <c r="AA9" s="543" t="s">
        <v>39</v>
      </c>
      <c r="AB9" s="544" t="s">
        <v>28</v>
      </c>
      <c r="BE9" s="530"/>
      <c r="BF9" s="530"/>
      <c r="BG9" s="530"/>
      <c r="BH9" s="530"/>
      <c r="BI9" s="530"/>
      <c r="BJ9" s="530"/>
      <c r="BK9" s="530"/>
      <c r="BL9" s="530"/>
      <c r="BM9" s="530"/>
      <c r="BN9" s="530"/>
      <c r="BO9" s="530"/>
      <c r="BP9" s="530"/>
      <c r="BQ9" s="530"/>
      <c r="BR9" s="530"/>
    </row>
    <row r="10" spans="1:79" ht="15" customHeight="1">
      <c r="A10" s="43"/>
      <c r="B10" s="541" t="s">
        <v>79</v>
      </c>
      <c r="C10" s="535" t="s">
        <v>98</v>
      </c>
      <c r="D10" s="535" t="s">
        <v>99</v>
      </c>
      <c r="E10" s="535" t="s">
        <v>100</v>
      </c>
      <c r="F10" s="542" t="s">
        <v>4</v>
      </c>
      <c r="G10" s="535" t="s">
        <v>89</v>
      </c>
      <c r="H10" s="535" t="s">
        <v>75</v>
      </c>
      <c r="I10" s="535" t="s">
        <v>70</v>
      </c>
      <c r="J10" s="535" t="s">
        <v>64</v>
      </c>
      <c r="K10" s="535" t="s">
        <v>57</v>
      </c>
      <c r="L10" s="543" t="s">
        <v>49</v>
      </c>
      <c r="M10" s="543" t="s">
        <v>40</v>
      </c>
      <c r="N10" s="544" t="s">
        <v>29</v>
      </c>
      <c r="P10" s="541" t="s">
        <v>79</v>
      </c>
      <c r="Q10" s="535" t="s">
        <v>98</v>
      </c>
      <c r="R10" s="535" t="s">
        <v>99</v>
      </c>
      <c r="S10" s="535" t="s">
        <v>100</v>
      </c>
      <c r="T10" s="542" t="s">
        <v>4</v>
      </c>
      <c r="U10" s="535" t="s">
        <v>89</v>
      </c>
      <c r="V10" s="535" t="s">
        <v>75</v>
      </c>
      <c r="W10" s="535" t="s">
        <v>70</v>
      </c>
      <c r="X10" s="543" t="s">
        <v>64</v>
      </c>
      <c r="Y10" s="543" t="s">
        <v>57</v>
      </c>
      <c r="Z10" s="543" t="s">
        <v>49</v>
      </c>
      <c r="AA10" s="543" t="s">
        <v>40</v>
      </c>
      <c r="AB10" s="544" t="s">
        <v>29</v>
      </c>
      <c r="AC10" s="43"/>
      <c r="BE10" s="530"/>
      <c r="BF10" s="530"/>
      <c r="BG10" s="530"/>
      <c r="BH10" s="530"/>
      <c r="BI10" s="530"/>
      <c r="BJ10" s="530"/>
      <c r="BK10" s="530"/>
      <c r="BL10" s="530"/>
      <c r="BM10" s="530"/>
      <c r="BN10" s="530"/>
      <c r="BO10" s="530"/>
      <c r="BP10" s="530"/>
      <c r="BQ10" s="530"/>
      <c r="BR10" s="530"/>
    </row>
    <row r="11" spans="1:79" ht="15" customHeight="1">
      <c r="A11" s="43"/>
      <c r="B11" s="541" t="s">
        <v>80</v>
      </c>
      <c r="C11" s="535" t="s">
        <v>101</v>
      </c>
      <c r="D11" s="535" t="s">
        <v>109</v>
      </c>
      <c r="E11" s="535" t="s">
        <v>117</v>
      </c>
      <c r="F11" s="535" t="s">
        <v>125</v>
      </c>
      <c r="G11" s="542">
        <v>99</v>
      </c>
      <c r="H11" s="535" t="s">
        <v>88</v>
      </c>
      <c r="I11" s="535" t="s">
        <v>71</v>
      </c>
      <c r="J11" s="543" t="s">
        <v>65</v>
      </c>
      <c r="K11" s="543" t="s">
        <v>58</v>
      </c>
      <c r="L11" s="543" t="s">
        <v>50</v>
      </c>
      <c r="M11" s="543" t="s">
        <v>41</v>
      </c>
      <c r="N11" s="544" t="s">
        <v>31</v>
      </c>
      <c r="P11" s="541" t="s">
        <v>80</v>
      </c>
      <c r="Q11" s="535" t="s">
        <v>101</v>
      </c>
      <c r="R11" s="535" t="s">
        <v>109</v>
      </c>
      <c r="S11" s="535" t="s">
        <v>117</v>
      </c>
      <c r="T11" s="535" t="s">
        <v>125</v>
      </c>
      <c r="U11" s="542">
        <v>99</v>
      </c>
      <c r="V11" s="535" t="s">
        <v>88</v>
      </c>
      <c r="W11" s="543" t="s">
        <v>71</v>
      </c>
      <c r="X11" s="543" t="s">
        <v>65</v>
      </c>
      <c r="Y11" s="543" t="s">
        <v>58</v>
      </c>
      <c r="Z11" s="543" t="s">
        <v>50</v>
      </c>
      <c r="AA11" s="543" t="s">
        <v>41</v>
      </c>
      <c r="AB11" s="544" t="s">
        <v>31</v>
      </c>
      <c r="AC11" s="43"/>
      <c r="BE11" s="530"/>
      <c r="BF11" s="530"/>
      <c r="BG11" s="530"/>
      <c r="BH11" s="530"/>
      <c r="BI11" s="530"/>
      <c r="BJ11" s="530"/>
      <c r="BK11" s="530"/>
      <c r="BL11" s="530"/>
      <c r="BM11" s="530"/>
      <c r="BN11" s="530"/>
      <c r="BO11" s="530"/>
      <c r="BP11" s="530"/>
      <c r="BQ11" s="530"/>
      <c r="BR11" s="530"/>
    </row>
    <row r="12" spans="1:79" ht="15" customHeight="1">
      <c r="A12" s="43"/>
      <c r="B12" s="541" t="s">
        <v>81</v>
      </c>
      <c r="C12" s="535" t="s">
        <v>102</v>
      </c>
      <c r="D12" s="535" t="s">
        <v>110</v>
      </c>
      <c r="E12" s="535" t="s">
        <v>118</v>
      </c>
      <c r="F12" s="535" t="s">
        <v>126</v>
      </c>
      <c r="G12" s="543" t="s">
        <v>133</v>
      </c>
      <c r="H12" s="534">
        <v>88</v>
      </c>
      <c r="I12" s="535" t="s">
        <v>72</v>
      </c>
      <c r="J12" s="543" t="s">
        <v>66</v>
      </c>
      <c r="K12" s="543" t="s">
        <v>59</v>
      </c>
      <c r="L12" s="543" t="s">
        <v>51</v>
      </c>
      <c r="M12" s="543" t="s">
        <v>42</v>
      </c>
      <c r="N12" s="544" t="s">
        <v>32</v>
      </c>
      <c r="P12" s="541" t="s">
        <v>81</v>
      </c>
      <c r="Q12" s="535" t="s">
        <v>102</v>
      </c>
      <c r="R12" s="535" t="s">
        <v>110</v>
      </c>
      <c r="S12" s="535" t="s">
        <v>118</v>
      </c>
      <c r="T12" s="543" t="s">
        <v>126</v>
      </c>
      <c r="U12" s="543" t="s">
        <v>133</v>
      </c>
      <c r="V12" s="534">
        <v>88</v>
      </c>
      <c r="W12" s="543" t="s">
        <v>72</v>
      </c>
      <c r="X12" s="543" t="s">
        <v>66</v>
      </c>
      <c r="Y12" s="543" t="s">
        <v>59</v>
      </c>
      <c r="Z12" s="543" t="s">
        <v>51</v>
      </c>
      <c r="AA12" s="543" t="s">
        <v>42</v>
      </c>
      <c r="AB12" s="544" t="s">
        <v>32</v>
      </c>
      <c r="AC12" s="43"/>
      <c r="BE12" s="530"/>
      <c r="BL12" s="530"/>
      <c r="BM12" s="530"/>
      <c r="BN12" s="530"/>
      <c r="BO12" s="530"/>
      <c r="BP12" s="530"/>
      <c r="BQ12" s="530"/>
      <c r="BR12" s="530"/>
    </row>
    <row r="13" spans="1:79" ht="15" customHeight="1">
      <c r="A13" s="43"/>
      <c r="B13" s="541" t="s">
        <v>82</v>
      </c>
      <c r="C13" s="535" t="s">
        <v>103</v>
      </c>
      <c r="D13" s="535" t="s">
        <v>111</v>
      </c>
      <c r="E13" s="535" t="s">
        <v>119</v>
      </c>
      <c r="F13" s="543" t="s">
        <v>127</v>
      </c>
      <c r="G13" s="543" t="s">
        <v>134</v>
      </c>
      <c r="H13" s="543" t="s">
        <v>140</v>
      </c>
      <c r="I13" s="534">
        <v>77</v>
      </c>
      <c r="J13" s="543" t="s">
        <v>67</v>
      </c>
      <c r="K13" s="543" t="s">
        <v>60</v>
      </c>
      <c r="L13" s="543" t="s">
        <v>52</v>
      </c>
      <c r="M13" s="543" t="s">
        <v>43</v>
      </c>
      <c r="N13" s="544" t="s">
        <v>33</v>
      </c>
      <c r="P13" s="541" t="s">
        <v>82</v>
      </c>
      <c r="Q13" s="535" t="s">
        <v>103</v>
      </c>
      <c r="R13" s="535" t="s">
        <v>111</v>
      </c>
      <c r="S13" s="543" t="s">
        <v>119</v>
      </c>
      <c r="T13" s="543" t="s">
        <v>127</v>
      </c>
      <c r="U13" s="543" t="s">
        <v>134</v>
      </c>
      <c r="V13" s="543" t="s">
        <v>140</v>
      </c>
      <c r="W13" s="534">
        <v>77</v>
      </c>
      <c r="X13" s="543" t="s">
        <v>67</v>
      </c>
      <c r="Y13" s="543" t="s">
        <v>60</v>
      </c>
      <c r="Z13" s="543" t="s">
        <v>52</v>
      </c>
      <c r="AA13" s="543" t="s">
        <v>43</v>
      </c>
      <c r="AB13" s="544" t="s">
        <v>33</v>
      </c>
      <c r="AC13" s="43"/>
      <c r="BE13" s="530"/>
      <c r="BL13" s="530"/>
      <c r="BM13" s="530"/>
      <c r="BN13" s="530"/>
      <c r="BO13" s="530"/>
      <c r="BP13" s="530"/>
      <c r="BQ13" s="530"/>
      <c r="BR13" s="530"/>
    </row>
    <row r="14" spans="1:79" ht="15" customHeight="1">
      <c r="A14" s="43"/>
      <c r="B14" s="541" t="s">
        <v>83</v>
      </c>
      <c r="C14" s="535" t="s">
        <v>108</v>
      </c>
      <c r="D14" s="535" t="s">
        <v>112</v>
      </c>
      <c r="E14" s="543" t="s">
        <v>120</v>
      </c>
      <c r="F14" s="543" t="s">
        <v>128</v>
      </c>
      <c r="G14" s="543" t="s">
        <v>135</v>
      </c>
      <c r="H14" s="543" t="s">
        <v>141</v>
      </c>
      <c r="I14" s="543" t="s">
        <v>146</v>
      </c>
      <c r="J14" s="534">
        <v>66</v>
      </c>
      <c r="K14" s="543" t="s">
        <v>61</v>
      </c>
      <c r="L14" s="543" t="s">
        <v>53</v>
      </c>
      <c r="M14" s="543" t="s">
        <v>44</v>
      </c>
      <c r="N14" s="544" t="s">
        <v>34</v>
      </c>
      <c r="P14" s="541" t="s">
        <v>83</v>
      </c>
      <c r="Q14" s="535" t="s">
        <v>108</v>
      </c>
      <c r="R14" s="535" t="s">
        <v>112</v>
      </c>
      <c r="S14" s="543" t="s">
        <v>120</v>
      </c>
      <c r="T14" s="543" t="s">
        <v>128</v>
      </c>
      <c r="U14" s="543" t="s">
        <v>135</v>
      </c>
      <c r="V14" s="543" t="s">
        <v>141</v>
      </c>
      <c r="W14" s="543" t="s">
        <v>146</v>
      </c>
      <c r="X14" s="534">
        <v>66</v>
      </c>
      <c r="Y14" s="543" t="s">
        <v>61</v>
      </c>
      <c r="Z14" s="543" t="s">
        <v>53</v>
      </c>
      <c r="AA14" s="543" t="s">
        <v>44</v>
      </c>
      <c r="AB14" s="544" t="s">
        <v>34</v>
      </c>
      <c r="AC14" s="43"/>
      <c r="BE14" s="530"/>
      <c r="BL14" s="530"/>
      <c r="BM14" s="530"/>
      <c r="BN14" s="530"/>
      <c r="BO14" s="530"/>
      <c r="BP14" s="530"/>
      <c r="BQ14" s="530"/>
      <c r="BR14" s="530"/>
    </row>
    <row r="15" spans="1:79" ht="15" customHeight="1">
      <c r="A15" s="43"/>
      <c r="B15" s="541" t="s">
        <v>84</v>
      </c>
      <c r="C15" s="535" t="s">
        <v>104</v>
      </c>
      <c r="D15" s="535" t="s">
        <v>113</v>
      </c>
      <c r="E15" s="543" t="s">
        <v>121</v>
      </c>
      <c r="F15" s="543" t="s">
        <v>129</v>
      </c>
      <c r="G15" s="543" t="s">
        <v>136</v>
      </c>
      <c r="H15" s="543" t="s">
        <v>142</v>
      </c>
      <c r="I15" s="543" t="s">
        <v>147</v>
      </c>
      <c r="J15" s="543" t="s">
        <v>151</v>
      </c>
      <c r="K15" s="534">
        <v>55</v>
      </c>
      <c r="L15" s="543" t="s">
        <v>54</v>
      </c>
      <c r="M15" s="543" t="s">
        <v>45</v>
      </c>
      <c r="N15" s="544" t="s">
        <v>35</v>
      </c>
      <c r="P15" s="541" t="s">
        <v>84</v>
      </c>
      <c r="Q15" s="535" t="s">
        <v>104</v>
      </c>
      <c r="R15" s="535" t="s">
        <v>113</v>
      </c>
      <c r="S15" s="543" t="s">
        <v>121</v>
      </c>
      <c r="T15" s="543" t="s">
        <v>129</v>
      </c>
      <c r="U15" s="543" t="s">
        <v>136</v>
      </c>
      <c r="V15" s="543" t="s">
        <v>142</v>
      </c>
      <c r="W15" s="543" t="s">
        <v>147</v>
      </c>
      <c r="X15" s="543" t="s">
        <v>151</v>
      </c>
      <c r="Y15" s="534">
        <v>55</v>
      </c>
      <c r="Z15" s="543" t="s">
        <v>54</v>
      </c>
      <c r="AA15" s="543" t="s">
        <v>45</v>
      </c>
      <c r="AB15" s="544" t="s">
        <v>35</v>
      </c>
      <c r="AC15" s="43"/>
      <c r="BE15" s="530"/>
      <c r="BL15" s="530"/>
      <c r="BM15" s="530"/>
      <c r="BN15" s="530"/>
      <c r="BO15" s="530"/>
      <c r="BP15" s="530"/>
      <c r="BQ15" s="530"/>
      <c r="BR15" s="530"/>
    </row>
    <row r="16" spans="1:79" ht="15" customHeight="1">
      <c r="A16" s="43"/>
      <c r="B16" s="541" t="s">
        <v>85</v>
      </c>
      <c r="C16" s="535" t="s">
        <v>105</v>
      </c>
      <c r="D16" s="535" t="s">
        <v>114</v>
      </c>
      <c r="E16" s="543" t="s">
        <v>122</v>
      </c>
      <c r="F16" s="543" t="s">
        <v>130</v>
      </c>
      <c r="G16" s="543" t="s">
        <v>137</v>
      </c>
      <c r="H16" s="543" t="s">
        <v>143</v>
      </c>
      <c r="I16" s="543" t="s">
        <v>148</v>
      </c>
      <c r="J16" s="543" t="s">
        <v>152</v>
      </c>
      <c r="K16" s="543" t="s">
        <v>155</v>
      </c>
      <c r="L16" s="534">
        <v>44</v>
      </c>
      <c r="M16" s="543" t="s">
        <v>46</v>
      </c>
      <c r="N16" s="544" t="s">
        <v>36</v>
      </c>
      <c r="P16" s="541" t="s">
        <v>85</v>
      </c>
      <c r="Q16" s="535" t="s">
        <v>105</v>
      </c>
      <c r="R16" s="543" t="s">
        <v>114</v>
      </c>
      <c r="S16" s="543" t="s">
        <v>122</v>
      </c>
      <c r="T16" s="543" t="s">
        <v>130</v>
      </c>
      <c r="U16" s="543" t="s">
        <v>137</v>
      </c>
      <c r="V16" s="543" t="s">
        <v>143</v>
      </c>
      <c r="W16" s="543" t="s">
        <v>148</v>
      </c>
      <c r="X16" s="543" t="s">
        <v>152</v>
      </c>
      <c r="Y16" s="543" t="s">
        <v>155</v>
      </c>
      <c r="Z16" s="534">
        <v>44</v>
      </c>
      <c r="AA16" s="543" t="s">
        <v>46</v>
      </c>
      <c r="AB16" s="544" t="s">
        <v>36</v>
      </c>
      <c r="AC16" s="43"/>
      <c r="BE16" s="530"/>
      <c r="BL16" s="530"/>
      <c r="BM16" s="530"/>
      <c r="BN16" s="530"/>
      <c r="BO16" s="530"/>
      <c r="BP16" s="530"/>
      <c r="BQ16" s="530"/>
      <c r="BR16" s="530"/>
    </row>
    <row r="17" spans="1:79" ht="15" customHeight="1">
      <c r="A17" s="43"/>
      <c r="B17" s="541" t="s">
        <v>86</v>
      </c>
      <c r="C17" s="535" t="s">
        <v>106</v>
      </c>
      <c r="D17" s="535" t="s">
        <v>115</v>
      </c>
      <c r="E17" s="543" t="s">
        <v>123</v>
      </c>
      <c r="F17" s="543" t="s">
        <v>131</v>
      </c>
      <c r="G17" s="543" t="s">
        <v>138</v>
      </c>
      <c r="H17" s="543" t="s">
        <v>144</v>
      </c>
      <c r="I17" s="543" t="s">
        <v>149</v>
      </c>
      <c r="J17" s="543" t="s">
        <v>153</v>
      </c>
      <c r="K17" s="543" t="s">
        <v>156</v>
      </c>
      <c r="L17" s="543" t="s">
        <v>158</v>
      </c>
      <c r="M17" s="534">
        <v>33</v>
      </c>
      <c r="N17" s="544" t="s">
        <v>37</v>
      </c>
      <c r="P17" s="541" t="s">
        <v>86</v>
      </c>
      <c r="Q17" s="535" t="s">
        <v>106</v>
      </c>
      <c r="R17" s="543" t="s">
        <v>115</v>
      </c>
      <c r="S17" s="543" t="s">
        <v>123</v>
      </c>
      <c r="T17" s="543" t="s">
        <v>131</v>
      </c>
      <c r="U17" s="543" t="s">
        <v>138</v>
      </c>
      <c r="V17" s="543" t="s">
        <v>144</v>
      </c>
      <c r="W17" s="543" t="s">
        <v>149</v>
      </c>
      <c r="X17" s="543" t="s">
        <v>153</v>
      </c>
      <c r="Y17" s="543" t="s">
        <v>156</v>
      </c>
      <c r="Z17" s="543" t="s">
        <v>158</v>
      </c>
      <c r="AA17" s="534">
        <v>33</v>
      </c>
      <c r="AB17" s="544" t="s">
        <v>37</v>
      </c>
      <c r="AC17" s="43"/>
      <c r="BE17" s="530"/>
      <c r="BL17" s="530"/>
      <c r="BM17" s="530"/>
      <c r="BN17" s="530"/>
      <c r="BO17" s="530"/>
      <c r="BP17" s="530"/>
      <c r="BQ17" s="530"/>
      <c r="BR17" s="530"/>
    </row>
    <row r="18" spans="1:79" ht="15" customHeight="1" thickBot="1">
      <c r="A18" s="43"/>
      <c r="B18" s="545" t="s">
        <v>87</v>
      </c>
      <c r="C18" s="546" t="s">
        <v>107</v>
      </c>
      <c r="D18" s="546" t="s">
        <v>116</v>
      </c>
      <c r="E18" s="547" t="s">
        <v>124</v>
      </c>
      <c r="F18" s="547" t="s">
        <v>132</v>
      </c>
      <c r="G18" s="547" t="s">
        <v>139</v>
      </c>
      <c r="H18" s="547" t="s">
        <v>145</v>
      </c>
      <c r="I18" s="547" t="s">
        <v>150</v>
      </c>
      <c r="J18" s="547" t="s">
        <v>154</v>
      </c>
      <c r="K18" s="547" t="s">
        <v>157</v>
      </c>
      <c r="L18" s="547" t="s">
        <v>160</v>
      </c>
      <c r="M18" s="547" t="s">
        <v>159</v>
      </c>
      <c r="N18" s="548">
        <v>22</v>
      </c>
      <c r="P18" s="545" t="s">
        <v>87</v>
      </c>
      <c r="Q18" s="546" t="s">
        <v>107</v>
      </c>
      <c r="R18" s="547" t="s">
        <v>116</v>
      </c>
      <c r="S18" s="547" t="s">
        <v>124</v>
      </c>
      <c r="T18" s="547" t="s">
        <v>132</v>
      </c>
      <c r="U18" s="547" t="s">
        <v>139</v>
      </c>
      <c r="V18" s="547" t="s">
        <v>145</v>
      </c>
      <c r="W18" s="547" t="s">
        <v>150</v>
      </c>
      <c r="X18" s="547" t="s">
        <v>154</v>
      </c>
      <c r="Y18" s="547" t="s">
        <v>157</v>
      </c>
      <c r="Z18" s="547" t="s">
        <v>160</v>
      </c>
      <c r="AA18" s="547" t="s">
        <v>159</v>
      </c>
      <c r="AB18" s="548">
        <v>22</v>
      </c>
      <c r="AC18" s="43"/>
      <c r="BE18" s="161"/>
      <c r="BL18" s="161"/>
      <c r="BM18" s="161"/>
      <c r="BN18" s="161"/>
      <c r="BO18" s="161"/>
      <c r="BP18" s="161"/>
      <c r="BQ18" s="161"/>
      <c r="BR18" s="161"/>
    </row>
    <row r="19" spans="1:79" ht="15" customHeight="1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</row>
    <row r="20" spans="1:79" ht="15" customHeight="1" thickBot="1">
      <c r="A20" s="43"/>
      <c r="AC20" s="43"/>
      <c r="AQ20" s="43"/>
      <c r="BE20" s="147"/>
      <c r="BR20" s="43"/>
    </row>
    <row r="21" spans="1:79" ht="15" customHeight="1">
      <c r="A21" s="43"/>
      <c r="B21" s="647" t="s">
        <v>274</v>
      </c>
      <c r="C21" s="648"/>
      <c r="D21" s="648"/>
      <c r="E21" s="648"/>
      <c r="F21" s="648"/>
      <c r="G21" s="648"/>
      <c r="H21" s="648"/>
      <c r="I21" s="648"/>
      <c r="J21" s="648"/>
      <c r="K21" s="648"/>
      <c r="L21" s="648"/>
      <c r="M21" s="648"/>
      <c r="N21" s="650"/>
      <c r="O21" s="43"/>
      <c r="P21" s="647" t="s">
        <v>275</v>
      </c>
      <c r="Q21" s="648"/>
      <c r="R21" s="648"/>
      <c r="S21" s="648"/>
      <c r="T21" s="648"/>
      <c r="U21" s="648"/>
      <c r="V21" s="648"/>
      <c r="W21" s="648"/>
      <c r="X21" s="648"/>
      <c r="Y21" s="648"/>
      <c r="Z21" s="648"/>
      <c r="AA21" s="648"/>
      <c r="AB21" s="650"/>
      <c r="AC21" s="43"/>
      <c r="AQ21" s="43"/>
      <c r="BE21" s="530"/>
      <c r="BR21" s="43"/>
    </row>
    <row r="22" spans="1:79" ht="15" customHeight="1">
      <c r="A22" s="43"/>
      <c r="B22" s="531" t="s">
        <v>0</v>
      </c>
      <c r="C22" s="532" t="s">
        <v>5</v>
      </c>
      <c r="D22" s="533" t="s">
        <v>6</v>
      </c>
      <c r="E22" s="534" t="s">
        <v>7</v>
      </c>
      <c r="F22" s="534" t="s">
        <v>8</v>
      </c>
      <c r="G22" s="534" t="s">
        <v>9</v>
      </c>
      <c r="H22" s="535" t="s">
        <v>10</v>
      </c>
      <c r="I22" s="535" t="s">
        <v>11</v>
      </c>
      <c r="J22" s="535" t="s">
        <v>12</v>
      </c>
      <c r="K22" s="535" t="s">
        <v>13</v>
      </c>
      <c r="L22" s="535" t="s">
        <v>14</v>
      </c>
      <c r="M22" s="535" t="s">
        <v>15</v>
      </c>
      <c r="N22" s="536" t="s">
        <v>16</v>
      </c>
      <c r="O22" s="43"/>
      <c r="P22" s="531" t="s">
        <v>0</v>
      </c>
      <c r="Q22" s="532" t="s">
        <v>5</v>
      </c>
      <c r="R22" s="533" t="s">
        <v>6</v>
      </c>
      <c r="S22" s="534" t="s">
        <v>7</v>
      </c>
      <c r="T22" s="534" t="s">
        <v>8</v>
      </c>
      <c r="U22" s="534" t="s">
        <v>9</v>
      </c>
      <c r="V22" s="535" t="s">
        <v>10</v>
      </c>
      <c r="W22" s="535" t="s">
        <v>11</v>
      </c>
      <c r="X22" s="535" t="s">
        <v>12</v>
      </c>
      <c r="Y22" s="535" t="s">
        <v>13</v>
      </c>
      <c r="Z22" s="535" t="s">
        <v>14</v>
      </c>
      <c r="AA22" s="535" t="s">
        <v>15</v>
      </c>
      <c r="AB22" s="536" t="s">
        <v>16</v>
      </c>
      <c r="AC22" s="43"/>
      <c r="AQ22" s="43"/>
      <c r="BE22" s="530"/>
      <c r="BR22" s="43"/>
    </row>
    <row r="23" spans="1:79" ht="15" customHeight="1">
      <c r="A23" s="43"/>
      <c r="B23" s="531" t="s">
        <v>76</v>
      </c>
      <c r="C23" s="532" t="s">
        <v>1</v>
      </c>
      <c r="D23" s="534" t="s">
        <v>95</v>
      </c>
      <c r="E23" s="534" t="s">
        <v>94</v>
      </c>
      <c r="F23" s="534" t="s">
        <v>19</v>
      </c>
      <c r="G23" s="535" t="s">
        <v>20</v>
      </c>
      <c r="H23" s="535" t="s">
        <v>21</v>
      </c>
      <c r="I23" s="535" t="s">
        <v>22</v>
      </c>
      <c r="J23" s="535" t="s">
        <v>23</v>
      </c>
      <c r="K23" s="535" t="s">
        <v>24</v>
      </c>
      <c r="L23" s="535" t="s">
        <v>25</v>
      </c>
      <c r="M23" s="535" t="s">
        <v>26</v>
      </c>
      <c r="N23" s="536" t="s">
        <v>191</v>
      </c>
      <c r="O23" s="43"/>
      <c r="P23" s="531" t="s">
        <v>76</v>
      </c>
      <c r="Q23" s="532" t="s">
        <v>1</v>
      </c>
      <c r="R23" s="534" t="s">
        <v>95</v>
      </c>
      <c r="S23" s="534" t="s">
        <v>94</v>
      </c>
      <c r="T23" s="534" t="s">
        <v>19</v>
      </c>
      <c r="U23" s="535" t="s">
        <v>20</v>
      </c>
      <c r="V23" s="535" t="s">
        <v>21</v>
      </c>
      <c r="W23" s="535" t="s">
        <v>22</v>
      </c>
      <c r="X23" s="535" t="s">
        <v>23</v>
      </c>
      <c r="Y23" s="535" t="s">
        <v>24</v>
      </c>
      <c r="Z23" s="535" t="s">
        <v>25</v>
      </c>
      <c r="AA23" s="535" t="s">
        <v>26</v>
      </c>
      <c r="AB23" s="544" t="s">
        <v>191</v>
      </c>
      <c r="AC23" s="43"/>
      <c r="AQ23" s="43"/>
      <c r="BE23" s="530"/>
      <c r="BR23" s="43"/>
    </row>
    <row r="24" spans="1:79" ht="15" customHeight="1">
      <c r="A24" s="43"/>
      <c r="B24" s="549" t="s">
        <v>77</v>
      </c>
      <c r="C24" s="533" t="s">
        <v>17</v>
      </c>
      <c r="D24" s="532" t="s">
        <v>2</v>
      </c>
      <c r="E24" s="534" t="s">
        <v>97</v>
      </c>
      <c r="F24" s="534" t="s">
        <v>92</v>
      </c>
      <c r="G24" s="535" t="s">
        <v>96</v>
      </c>
      <c r="H24" s="535" t="s">
        <v>73</v>
      </c>
      <c r="I24" s="535" t="s">
        <v>68</v>
      </c>
      <c r="J24" s="535" t="s">
        <v>62</v>
      </c>
      <c r="K24" s="535" t="s">
        <v>55</v>
      </c>
      <c r="L24" s="543" t="s">
        <v>47</v>
      </c>
      <c r="M24" s="543" t="s">
        <v>38</v>
      </c>
      <c r="N24" s="544" t="s">
        <v>30</v>
      </c>
      <c r="O24" s="43"/>
      <c r="P24" s="549" t="s">
        <v>77</v>
      </c>
      <c r="Q24" s="533" t="s">
        <v>17</v>
      </c>
      <c r="R24" s="532" t="s">
        <v>2</v>
      </c>
      <c r="S24" s="534" t="s">
        <v>97</v>
      </c>
      <c r="T24" s="534" t="s">
        <v>92</v>
      </c>
      <c r="U24" s="535" t="s">
        <v>96</v>
      </c>
      <c r="V24" s="535" t="s">
        <v>73</v>
      </c>
      <c r="W24" s="543" t="s">
        <v>68</v>
      </c>
      <c r="X24" s="543" t="s">
        <v>62</v>
      </c>
      <c r="Y24" s="543" t="s">
        <v>55</v>
      </c>
      <c r="Z24" s="543" t="s">
        <v>47</v>
      </c>
      <c r="AA24" s="543" t="s">
        <v>38</v>
      </c>
      <c r="AB24" s="544" t="s">
        <v>30</v>
      </c>
      <c r="AC24" s="43"/>
      <c r="AQ24" s="43"/>
      <c r="BE24" s="530"/>
      <c r="BR24" s="43"/>
    </row>
    <row r="25" spans="1:79" ht="15" customHeight="1">
      <c r="A25" s="43"/>
      <c r="B25" s="550" t="s">
        <v>78</v>
      </c>
      <c r="C25" s="535" t="s">
        <v>18</v>
      </c>
      <c r="D25" s="535" t="s">
        <v>93</v>
      </c>
      <c r="E25" s="532" t="s">
        <v>3</v>
      </c>
      <c r="F25" s="534" t="s">
        <v>91</v>
      </c>
      <c r="G25" s="535" t="s">
        <v>90</v>
      </c>
      <c r="H25" s="535" t="s">
        <v>74</v>
      </c>
      <c r="I25" s="543" t="s">
        <v>69</v>
      </c>
      <c r="J25" s="543" t="s">
        <v>63</v>
      </c>
      <c r="K25" s="543" t="s">
        <v>56</v>
      </c>
      <c r="L25" s="543" t="s">
        <v>48</v>
      </c>
      <c r="M25" s="543" t="s">
        <v>39</v>
      </c>
      <c r="N25" s="544" t="s">
        <v>28</v>
      </c>
      <c r="O25" s="43"/>
      <c r="P25" s="550" t="s">
        <v>78</v>
      </c>
      <c r="Q25" s="535" t="s">
        <v>18</v>
      </c>
      <c r="R25" s="535" t="s">
        <v>93</v>
      </c>
      <c r="S25" s="532" t="s">
        <v>3</v>
      </c>
      <c r="T25" s="534" t="s">
        <v>91</v>
      </c>
      <c r="U25" s="535" t="s">
        <v>90</v>
      </c>
      <c r="V25" s="535" t="s">
        <v>74</v>
      </c>
      <c r="W25" s="543" t="s">
        <v>69</v>
      </c>
      <c r="X25" s="543" t="s">
        <v>63</v>
      </c>
      <c r="Y25" s="543" t="s">
        <v>56</v>
      </c>
      <c r="Z25" s="543" t="s">
        <v>48</v>
      </c>
      <c r="AA25" s="543" t="s">
        <v>39</v>
      </c>
      <c r="AB25" s="544" t="s">
        <v>28</v>
      </c>
      <c r="AC25" s="43"/>
      <c r="AQ25" s="43"/>
      <c r="BE25" s="530"/>
      <c r="BR25" s="43"/>
    </row>
    <row r="26" spans="1:79" ht="15" customHeight="1">
      <c r="A26" s="43"/>
      <c r="B26" s="541" t="s">
        <v>79</v>
      </c>
      <c r="C26" s="535" t="s">
        <v>98</v>
      </c>
      <c r="D26" s="535" t="s">
        <v>99</v>
      </c>
      <c r="E26" s="535" t="s">
        <v>100</v>
      </c>
      <c r="F26" s="542" t="s">
        <v>4</v>
      </c>
      <c r="G26" s="535" t="s">
        <v>89</v>
      </c>
      <c r="H26" s="535" t="s">
        <v>75</v>
      </c>
      <c r="I26" s="543" t="s">
        <v>70</v>
      </c>
      <c r="J26" s="543" t="s">
        <v>64</v>
      </c>
      <c r="K26" s="543" t="s">
        <v>57</v>
      </c>
      <c r="L26" s="543" t="s">
        <v>49</v>
      </c>
      <c r="M26" s="543" t="s">
        <v>40</v>
      </c>
      <c r="N26" s="544" t="s">
        <v>29</v>
      </c>
      <c r="O26" s="43"/>
      <c r="P26" s="541" t="s">
        <v>79</v>
      </c>
      <c r="Q26" s="535" t="s">
        <v>98</v>
      </c>
      <c r="R26" s="535" t="s">
        <v>99</v>
      </c>
      <c r="S26" s="535" t="s">
        <v>100</v>
      </c>
      <c r="T26" s="542" t="s">
        <v>4</v>
      </c>
      <c r="U26" s="535" t="s">
        <v>89</v>
      </c>
      <c r="V26" s="543" t="s">
        <v>75</v>
      </c>
      <c r="W26" s="543" t="s">
        <v>70</v>
      </c>
      <c r="X26" s="543" t="s">
        <v>64</v>
      </c>
      <c r="Y26" s="543" t="s">
        <v>57</v>
      </c>
      <c r="Z26" s="543" t="s">
        <v>49</v>
      </c>
      <c r="AA26" s="543" t="s">
        <v>40</v>
      </c>
      <c r="AB26" s="544" t="s">
        <v>29</v>
      </c>
      <c r="AC26" s="43"/>
      <c r="AQ26" s="43"/>
      <c r="BE26" s="530"/>
      <c r="BR26" s="43"/>
    </row>
    <row r="27" spans="1:79" ht="15" customHeight="1">
      <c r="A27" s="43"/>
      <c r="B27" s="541" t="s">
        <v>80</v>
      </c>
      <c r="C27" s="535" t="s">
        <v>101</v>
      </c>
      <c r="D27" s="535" t="s">
        <v>109</v>
      </c>
      <c r="E27" s="535" t="s">
        <v>117</v>
      </c>
      <c r="F27" s="543" t="s">
        <v>125</v>
      </c>
      <c r="G27" s="542">
        <v>99</v>
      </c>
      <c r="H27" s="543" t="s">
        <v>88</v>
      </c>
      <c r="I27" s="543" t="s">
        <v>71</v>
      </c>
      <c r="J27" s="543" t="s">
        <v>65</v>
      </c>
      <c r="K27" s="543" t="s">
        <v>58</v>
      </c>
      <c r="L27" s="543" t="s">
        <v>50</v>
      </c>
      <c r="M27" s="543" t="s">
        <v>41</v>
      </c>
      <c r="N27" s="544" t="s">
        <v>31</v>
      </c>
      <c r="O27" s="43"/>
      <c r="P27" s="541" t="s">
        <v>80</v>
      </c>
      <c r="Q27" s="535" t="s">
        <v>101</v>
      </c>
      <c r="R27" s="535" t="s">
        <v>109</v>
      </c>
      <c r="S27" s="543" t="s">
        <v>117</v>
      </c>
      <c r="T27" s="543" t="s">
        <v>125</v>
      </c>
      <c r="U27" s="542">
        <v>99</v>
      </c>
      <c r="V27" s="543" t="s">
        <v>88</v>
      </c>
      <c r="W27" s="543" t="s">
        <v>71</v>
      </c>
      <c r="X27" s="543" t="s">
        <v>65</v>
      </c>
      <c r="Y27" s="543" t="s">
        <v>58</v>
      </c>
      <c r="Z27" s="543" t="s">
        <v>50</v>
      </c>
      <c r="AA27" s="543" t="s">
        <v>41</v>
      </c>
      <c r="AB27" s="544" t="s">
        <v>31</v>
      </c>
      <c r="AC27" s="43"/>
      <c r="AQ27" s="43"/>
      <c r="BE27" s="530"/>
      <c r="BR27" s="43"/>
    </row>
    <row r="28" spans="1:79" ht="15" customHeight="1">
      <c r="A28" s="43"/>
      <c r="B28" s="541" t="s">
        <v>81</v>
      </c>
      <c r="C28" s="535" t="s">
        <v>102</v>
      </c>
      <c r="D28" s="535" t="s">
        <v>110</v>
      </c>
      <c r="E28" s="543" t="s">
        <v>118</v>
      </c>
      <c r="F28" s="543" t="s">
        <v>126</v>
      </c>
      <c r="G28" s="543" t="s">
        <v>133</v>
      </c>
      <c r="H28" s="534">
        <v>88</v>
      </c>
      <c r="I28" s="543" t="s">
        <v>72</v>
      </c>
      <c r="J28" s="543" t="s">
        <v>66</v>
      </c>
      <c r="K28" s="543" t="s">
        <v>59</v>
      </c>
      <c r="L28" s="543" t="s">
        <v>51</v>
      </c>
      <c r="M28" s="543" t="s">
        <v>42</v>
      </c>
      <c r="N28" s="544" t="s">
        <v>32</v>
      </c>
      <c r="O28" s="43"/>
      <c r="P28" s="541" t="s">
        <v>81</v>
      </c>
      <c r="Q28" s="535" t="s">
        <v>102</v>
      </c>
      <c r="R28" s="543" t="s">
        <v>110</v>
      </c>
      <c r="S28" s="543" t="s">
        <v>118</v>
      </c>
      <c r="T28" s="543" t="s">
        <v>126</v>
      </c>
      <c r="U28" s="543" t="s">
        <v>133</v>
      </c>
      <c r="V28" s="534">
        <v>88</v>
      </c>
      <c r="W28" s="543" t="s">
        <v>72</v>
      </c>
      <c r="X28" s="543" t="s">
        <v>66</v>
      </c>
      <c r="Y28" s="543" t="s">
        <v>59</v>
      </c>
      <c r="Z28" s="543" t="s">
        <v>51</v>
      </c>
      <c r="AA28" s="543" t="s">
        <v>42</v>
      </c>
      <c r="AB28" s="544" t="s">
        <v>32</v>
      </c>
      <c r="AC28" s="43"/>
      <c r="AQ28" s="43"/>
      <c r="BE28" s="530"/>
      <c r="BR28" s="43"/>
    </row>
    <row r="29" spans="1:79" ht="15" customHeight="1">
      <c r="A29" s="43"/>
      <c r="B29" s="541" t="s">
        <v>82</v>
      </c>
      <c r="C29" s="535" t="s">
        <v>103</v>
      </c>
      <c r="D29" s="543" t="s">
        <v>111</v>
      </c>
      <c r="E29" s="543" t="s">
        <v>119</v>
      </c>
      <c r="F29" s="543" t="s">
        <v>127</v>
      </c>
      <c r="G29" s="543" t="s">
        <v>134</v>
      </c>
      <c r="H29" s="543" t="s">
        <v>140</v>
      </c>
      <c r="I29" s="534">
        <v>77</v>
      </c>
      <c r="J29" s="543" t="s">
        <v>67</v>
      </c>
      <c r="K29" s="543" t="s">
        <v>60</v>
      </c>
      <c r="L29" s="543" t="s">
        <v>52</v>
      </c>
      <c r="M29" s="543" t="s">
        <v>43</v>
      </c>
      <c r="N29" s="544" t="s">
        <v>33</v>
      </c>
      <c r="O29" s="43"/>
      <c r="P29" s="541" t="s">
        <v>82</v>
      </c>
      <c r="Q29" s="535" t="s">
        <v>103</v>
      </c>
      <c r="R29" s="543" t="s">
        <v>111</v>
      </c>
      <c r="S29" s="543" t="s">
        <v>119</v>
      </c>
      <c r="T29" s="543" t="s">
        <v>127</v>
      </c>
      <c r="U29" s="543" t="s">
        <v>134</v>
      </c>
      <c r="V29" s="543" t="s">
        <v>140</v>
      </c>
      <c r="W29" s="534">
        <v>77</v>
      </c>
      <c r="X29" s="543" t="s">
        <v>67</v>
      </c>
      <c r="Y29" s="543" t="s">
        <v>60</v>
      </c>
      <c r="Z29" s="543" t="s">
        <v>52</v>
      </c>
      <c r="AA29" s="543" t="s">
        <v>43</v>
      </c>
      <c r="AB29" s="544" t="s">
        <v>33</v>
      </c>
      <c r="AC29" s="43"/>
      <c r="AQ29" s="43"/>
      <c r="BE29" s="530"/>
      <c r="BR29" s="43"/>
    </row>
    <row r="30" spans="1:79" ht="15" customHeight="1">
      <c r="A30" s="43"/>
      <c r="B30" s="541" t="s">
        <v>83</v>
      </c>
      <c r="C30" s="535" t="s">
        <v>108</v>
      </c>
      <c r="D30" s="543" t="s">
        <v>112</v>
      </c>
      <c r="E30" s="543" t="s">
        <v>120</v>
      </c>
      <c r="F30" s="543" t="s">
        <v>128</v>
      </c>
      <c r="G30" s="543" t="s">
        <v>135</v>
      </c>
      <c r="H30" s="543" t="s">
        <v>141</v>
      </c>
      <c r="I30" s="543" t="s">
        <v>146</v>
      </c>
      <c r="J30" s="534">
        <v>66</v>
      </c>
      <c r="K30" s="543" t="s">
        <v>61</v>
      </c>
      <c r="L30" s="543" t="s">
        <v>53</v>
      </c>
      <c r="M30" s="543" t="s">
        <v>44</v>
      </c>
      <c r="N30" s="544" t="s">
        <v>34</v>
      </c>
      <c r="O30" s="43"/>
      <c r="P30" s="541" t="s">
        <v>83</v>
      </c>
      <c r="Q30" s="543" t="s">
        <v>108</v>
      </c>
      <c r="R30" s="543" t="s">
        <v>112</v>
      </c>
      <c r="S30" s="543" t="s">
        <v>120</v>
      </c>
      <c r="T30" s="543" t="s">
        <v>128</v>
      </c>
      <c r="U30" s="543" t="s">
        <v>135</v>
      </c>
      <c r="V30" s="543" t="s">
        <v>141</v>
      </c>
      <c r="W30" s="543" t="s">
        <v>146</v>
      </c>
      <c r="X30" s="534">
        <v>66</v>
      </c>
      <c r="Y30" s="543" t="s">
        <v>61</v>
      </c>
      <c r="Z30" s="543" t="s">
        <v>53</v>
      </c>
      <c r="AA30" s="543" t="s">
        <v>44</v>
      </c>
      <c r="AB30" s="544" t="s">
        <v>34</v>
      </c>
      <c r="AC30" s="43"/>
      <c r="AQ30" s="43"/>
      <c r="BE30" s="530"/>
      <c r="BR30" s="43"/>
    </row>
    <row r="31" spans="1:79" ht="15" customHeight="1">
      <c r="A31" s="43"/>
      <c r="B31" s="541" t="s">
        <v>84</v>
      </c>
      <c r="C31" s="535" t="s">
        <v>104</v>
      </c>
      <c r="D31" s="543" t="s">
        <v>113</v>
      </c>
      <c r="E31" s="543" t="s">
        <v>121</v>
      </c>
      <c r="F31" s="543" t="s">
        <v>129</v>
      </c>
      <c r="G31" s="543" t="s">
        <v>136</v>
      </c>
      <c r="H31" s="543" t="s">
        <v>142</v>
      </c>
      <c r="I31" s="543" t="s">
        <v>147</v>
      </c>
      <c r="J31" s="543" t="s">
        <v>151</v>
      </c>
      <c r="K31" s="534">
        <v>55</v>
      </c>
      <c r="L31" s="543" t="s">
        <v>54</v>
      </c>
      <c r="M31" s="543" t="s">
        <v>45</v>
      </c>
      <c r="N31" s="544" t="s">
        <v>35</v>
      </c>
      <c r="O31" s="43"/>
      <c r="P31" s="541" t="s">
        <v>84</v>
      </c>
      <c r="Q31" s="543" t="s">
        <v>104</v>
      </c>
      <c r="R31" s="543" t="s">
        <v>113</v>
      </c>
      <c r="S31" s="543" t="s">
        <v>121</v>
      </c>
      <c r="T31" s="543" t="s">
        <v>129</v>
      </c>
      <c r="U31" s="543" t="s">
        <v>136</v>
      </c>
      <c r="V31" s="543" t="s">
        <v>142</v>
      </c>
      <c r="W31" s="543" t="s">
        <v>147</v>
      </c>
      <c r="X31" s="543" t="s">
        <v>151</v>
      </c>
      <c r="Y31" s="534">
        <v>55</v>
      </c>
      <c r="Z31" s="543" t="s">
        <v>54</v>
      </c>
      <c r="AA31" s="543" t="s">
        <v>45</v>
      </c>
      <c r="AB31" s="544" t="s">
        <v>35</v>
      </c>
      <c r="AC31" s="43"/>
      <c r="AQ31" s="43"/>
      <c r="BE31" s="530"/>
      <c r="BR31" s="43"/>
    </row>
    <row r="32" spans="1:79" ht="15" customHeight="1">
      <c r="A32" s="43"/>
      <c r="B32" s="541" t="s">
        <v>85</v>
      </c>
      <c r="C32" s="535" t="s">
        <v>105</v>
      </c>
      <c r="D32" s="543" t="s">
        <v>114</v>
      </c>
      <c r="E32" s="543" t="s">
        <v>122</v>
      </c>
      <c r="F32" s="543" t="s">
        <v>130</v>
      </c>
      <c r="G32" s="543" t="s">
        <v>137</v>
      </c>
      <c r="H32" s="543" t="s">
        <v>143</v>
      </c>
      <c r="I32" s="543" t="s">
        <v>148</v>
      </c>
      <c r="J32" s="543" t="s">
        <v>152</v>
      </c>
      <c r="K32" s="543" t="s">
        <v>155</v>
      </c>
      <c r="L32" s="534">
        <v>44</v>
      </c>
      <c r="M32" s="543" t="s">
        <v>46</v>
      </c>
      <c r="N32" s="544" t="s">
        <v>36</v>
      </c>
      <c r="O32" s="43"/>
      <c r="P32" s="541" t="s">
        <v>85</v>
      </c>
      <c r="Q32" s="543" t="s">
        <v>105</v>
      </c>
      <c r="R32" s="543" t="s">
        <v>114</v>
      </c>
      <c r="S32" s="543" t="s">
        <v>122</v>
      </c>
      <c r="T32" s="543" t="s">
        <v>130</v>
      </c>
      <c r="U32" s="543" t="s">
        <v>137</v>
      </c>
      <c r="V32" s="543" t="s">
        <v>143</v>
      </c>
      <c r="W32" s="543" t="s">
        <v>148</v>
      </c>
      <c r="X32" s="543" t="s">
        <v>152</v>
      </c>
      <c r="Y32" s="543" t="s">
        <v>155</v>
      </c>
      <c r="Z32" s="534">
        <v>44</v>
      </c>
      <c r="AA32" s="543" t="s">
        <v>46</v>
      </c>
      <c r="AB32" s="544" t="s">
        <v>36</v>
      </c>
      <c r="AC32" s="43"/>
      <c r="AQ32" s="43"/>
      <c r="BE32" s="530"/>
      <c r="BR32" s="43"/>
    </row>
    <row r="33" spans="1:79" ht="15" customHeight="1">
      <c r="A33" s="43"/>
      <c r="B33" s="541" t="s">
        <v>86</v>
      </c>
      <c r="C33" s="535" t="s">
        <v>106</v>
      </c>
      <c r="D33" s="543" t="s">
        <v>115</v>
      </c>
      <c r="E33" s="543" t="s">
        <v>123</v>
      </c>
      <c r="F33" s="543" t="s">
        <v>131</v>
      </c>
      <c r="G33" s="543" t="s">
        <v>138</v>
      </c>
      <c r="H33" s="543" t="s">
        <v>144</v>
      </c>
      <c r="I33" s="543" t="s">
        <v>149</v>
      </c>
      <c r="J33" s="543" t="s">
        <v>153</v>
      </c>
      <c r="K33" s="543" t="s">
        <v>156</v>
      </c>
      <c r="L33" s="543" t="s">
        <v>158</v>
      </c>
      <c r="M33" s="534">
        <v>33</v>
      </c>
      <c r="N33" s="544" t="s">
        <v>37</v>
      </c>
      <c r="O33" s="43"/>
      <c r="P33" s="541" t="s">
        <v>86</v>
      </c>
      <c r="Q33" s="543" t="s">
        <v>106</v>
      </c>
      <c r="R33" s="543" t="s">
        <v>115</v>
      </c>
      <c r="S33" s="543" t="s">
        <v>123</v>
      </c>
      <c r="T33" s="543" t="s">
        <v>131</v>
      </c>
      <c r="U33" s="543" t="s">
        <v>138</v>
      </c>
      <c r="V33" s="543" t="s">
        <v>144</v>
      </c>
      <c r="W33" s="543" t="s">
        <v>149</v>
      </c>
      <c r="X33" s="543" t="s">
        <v>153</v>
      </c>
      <c r="Y33" s="543" t="s">
        <v>156</v>
      </c>
      <c r="Z33" s="543" t="s">
        <v>158</v>
      </c>
      <c r="AA33" s="534">
        <v>33</v>
      </c>
      <c r="AB33" s="544" t="s">
        <v>37</v>
      </c>
      <c r="AC33" s="43"/>
      <c r="AQ33" s="43"/>
      <c r="BE33" s="530"/>
      <c r="BR33" s="43"/>
    </row>
    <row r="34" spans="1:79" ht="15" customHeight="1" thickBot="1">
      <c r="A34" s="43"/>
      <c r="B34" s="545" t="s">
        <v>87</v>
      </c>
      <c r="C34" s="547" t="s">
        <v>107</v>
      </c>
      <c r="D34" s="547" t="s">
        <v>116</v>
      </c>
      <c r="E34" s="547" t="s">
        <v>124</v>
      </c>
      <c r="F34" s="547" t="s">
        <v>132</v>
      </c>
      <c r="G34" s="547" t="s">
        <v>139</v>
      </c>
      <c r="H34" s="547" t="s">
        <v>145</v>
      </c>
      <c r="I34" s="547" t="s">
        <v>150</v>
      </c>
      <c r="J34" s="547" t="s">
        <v>154</v>
      </c>
      <c r="K34" s="547" t="s">
        <v>157</v>
      </c>
      <c r="L34" s="547" t="s">
        <v>160</v>
      </c>
      <c r="M34" s="547" t="s">
        <v>159</v>
      </c>
      <c r="N34" s="548">
        <v>22</v>
      </c>
      <c r="O34" s="43"/>
      <c r="P34" s="545" t="s">
        <v>87</v>
      </c>
      <c r="Q34" s="547" t="s">
        <v>107</v>
      </c>
      <c r="R34" s="547" t="s">
        <v>116</v>
      </c>
      <c r="S34" s="547" t="s">
        <v>124</v>
      </c>
      <c r="T34" s="547" t="s">
        <v>132</v>
      </c>
      <c r="U34" s="547" t="s">
        <v>139</v>
      </c>
      <c r="V34" s="547" t="s">
        <v>145</v>
      </c>
      <c r="W34" s="547" t="s">
        <v>150</v>
      </c>
      <c r="X34" s="547" t="s">
        <v>154</v>
      </c>
      <c r="Y34" s="547" t="s">
        <v>157</v>
      </c>
      <c r="Z34" s="547" t="s">
        <v>160</v>
      </c>
      <c r="AA34" s="547" t="s">
        <v>159</v>
      </c>
      <c r="AB34" s="548">
        <v>22</v>
      </c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</row>
    <row r="35" spans="1:79" ht="15" customHeight="1">
      <c r="A35" s="43"/>
      <c r="AC35" s="43"/>
      <c r="BE35" s="43"/>
      <c r="BH35" s="530"/>
      <c r="BI35" s="530"/>
      <c r="BJ35" s="530"/>
      <c r="BK35" s="530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</row>
    <row r="36" spans="1:79" ht="15" customHeight="1">
      <c r="A36" s="43"/>
      <c r="AC36" s="43"/>
      <c r="BE36" s="43"/>
      <c r="BH36" s="530"/>
      <c r="BI36" s="530"/>
      <c r="BJ36" s="530"/>
      <c r="BK36" s="530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</row>
    <row r="37" spans="1:79" ht="15" customHeight="1">
      <c r="A37" s="43"/>
      <c r="AC37" s="43"/>
      <c r="BE37" s="43"/>
      <c r="BH37" s="530"/>
      <c r="BI37" s="530"/>
      <c r="BJ37" s="530"/>
      <c r="BK37" s="530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</row>
    <row r="38" spans="1:79" ht="15" customHeight="1">
      <c r="A38" s="43"/>
      <c r="AC38" s="43"/>
      <c r="BE38" s="43"/>
      <c r="BH38" s="530"/>
      <c r="BI38" s="530"/>
      <c r="BJ38" s="530"/>
      <c r="BK38" s="530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</row>
    <row r="39" spans="1:79" ht="15" customHeight="1" thickBot="1">
      <c r="A39" s="43"/>
      <c r="AC39" s="43"/>
      <c r="BE39" s="43"/>
      <c r="BH39" s="530"/>
      <c r="BI39" s="530"/>
      <c r="BJ39" s="530"/>
      <c r="BK39" s="530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</row>
    <row r="40" spans="1:79" ht="15" customHeight="1">
      <c r="A40" s="43"/>
      <c r="AC40" s="43"/>
      <c r="BE40" s="43"/>
      <c r="BH40" s="530"/>
      <c r="BI40" s="673"/>
      <c r="BJ40" s="674"/>
      <c r="BK40" s="675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</row>
    <row r="41" spans="1:79" ht="15" customHeight="1" thickBot="1">
      <c r="A41" s="43"/>
      <c r="AC41" s="43"/>
      <c r="BE41" s="43"/>
      <c r="BH41" s="161"/>
      <c r="BI41" s="676"/>
      <c r="BJ41" s="677"/>
      <c r="BK41" s="678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</row>
    <row r="42" spans="1:79" ht="15" customHeight="1">
      <c r="A42" s="43"/>
      <c r="AC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</row>
    <row r="43" spans="1:79" ht="15" customHeight="1">
      <c r="A43" s="43"/>
      <c r="AC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</row>
    <row r="44" spans="1:79" ht="15" customHeight="1">
      <c r="A44" s="43"/>
      <c r="AC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</row>
    <row r="45" spans="1:79" ht="15" customHeight="1">
      <c r="A45" s="43"/>
      <c r="AC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</row>
    <row r="46" spans="1:79" ht="15" customHeight="1">
      <c r="A46" s="43"/>
      <c r="AC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</row>
    <row r="47" spans="1:79" ht="15" customHeight="1">
      <c r="A47" s="43"/>
      <c r="AC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</row>
    <row r="48" spans="1:79" ht="15" customHeight="1">
      <c r="A48" s="43"/>
      <c r="AC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</row>
    <row r="49" spans="1:79" ht="15" customHeight="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</row>
    <row r="50" spans="1:79" ht="15" customHeigh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</row>
    <row r="51" spans="1:79" ht="15" customHeigh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</row>
    <row r="52" spans="1:79" ht="15" customHeigh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</row>
    <row r="53" spans="1:79" ht="15" customHeight="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</row>
    <row r="54" spans="1:79" ht="15" customHeight="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</row>
    <row r="55" spans="1:79" ht="15" customHeight="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</row>
    <row r="56" spans="1:79" ht="15" customHeight="1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</row>
  </sheetData>
  <mergeCells count="7">
    <mergeCell ref="BI40:BK40"/>
    <mergeCell ref="BI41:BK41"/>
    <mergeCell ref="B2:G3"/>
    <mergeCell ref="B5:N5"/>
    <mergeCell ref="P5:AB5"/>
    <mergeCell ref="B21:N21"/>
    <mergeCell ref="P21:AB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VoltResEP">
                <anchor moveWithCells="1" sizeWithCells="1">
                  <from>
                    <xdr:col>3</xdr:col>
                    <xdr:colOff>142875</xdr:colOff>
                    <xdr:row>1</xdr:row>
                    <xdr:rowOff>38100</xdr:rowOff>
                  </from>
                  <to>
                    <xdr:col>6</xdr:col>
                    <xdr:colOff>95250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P61"/>
  <sheetViews>
    <sheetView showGridLines="0" showRowColHeaders="0" zoomScale="80" zoomScaleNormal="80" workbookViewId="0">
      <selection activeCell="B6" sqref="B6"/>
    </sheetView>
  </sheetViews>
  <sheetFormatPr defaultRowHeight="15"/>
  <cols>
    <col min="1" max="14" width="4.7109375" customWidth="1"/>
    <col min="15" max="15" width="2.5703125" customWidth="1"/>
    <col min="16" max="28" width="4.7109375" customWidth="1"/>
    <col min="29" max="29" width="2.42578125" customWidth="1"/>
    <col min="30" max="30" width="4.5703125" customWidth="1"/>
    <col min="31" max="32" width="5" bestFit="1" customWidth="1"/>
    <col min="33" max="33" width="4.7109375" customWidth="1"/>
    <col min="34" max="34" width="4.5703125" customWidth="1"/>
    <col min="35" max="35" width="4.5703125" bestFit="1" customWidth="1"/>
    <col min="36" max="40" width="4.28515625" bestFit="1" customWidth="1"/>
    <col min="41" max="42" width="4.7109375" customWidth="1"/>
  </cols>
  <sheetData>
    <row r="1" spans="1:42" ht="15.75" thickBot="1"/>
    <row r="2" spans="1:42">
      <c r="B2" s="652"/>
      <c r="C2" s="653"/>
      <c r="D2" s="653"/>
      <c r="E2" s="653"/>
      <c r="F2" s="653"/>
      <c r="G2" s="654"/>
      <c r="P2" s="688" t="s">
        <v>192</v>
      </c>
      <c r="Q2" s="689"/>
      <c r="R2" s="689"/>
      <c r="S2" s="689"/>
      <c r="T2" s="689"/>
      <c r="U2" s="689"/>
      <c r="V2" s="689"/>
      <c r="W2" s="689"/>
      <c r="X2" s="689"/>
      <c r="Y2" s="689"/>
      <c r="Z2" s="689"/>
      <c r="AA2" s="689"/>
      <c r="AB2" s="690"/>
      <c r="AD2" s="688" t="s">
        <v>291</v>
      </c>
      <c r="AE2" s="689"/>
      <c r="AF2" s="689"/>
      <c r="AG2" s="689"/>
      <c r="AH2" s="689"/>
      <c r="AI2" s="689"/>
      <c r="AJ2" s="689"/>
      <c r="AK2" s="689"/>
      <c r="AL2" s="689"/>
      <c r="AM2" s="689"/>
      <c r="AN2" s="689"/>
      <c r="AO2" s="689"/>
      <c r="AP2" s="690"/>
    </row>
    <row r="3" spans="1:42" ht="15.75" thickBot="1">
      <c r="B3" s="655"/>
      <c r="C3" s="656"/>
      <c r="D3" s="656"/>
      <c r="E3" s="656"/>
      <c r="F3" s="656"/>
      <c r="G3" s="657"/>
      <c r="L3" s="400"/>
      <c r="P3" s="346" t="s">
        <v>0</v>
      </c>
      <c r="Q3" s="349" t="s">
        <v>5</v>
      </c>
      <c r="R3" s="350" t="s">
        <v>6</v>
      </c>
      <c r="S3" s="350" t="s">
        <v>7</v>
      </c>
      <c r="T3" s="350" t="s">
        <v>8</v>
      </c>
      <c r="U3" s="351" t="s">
        <v>9</v>
      </c>
      <c r="V3" s="347" t="s">
        <v>10</v>
      </c>
      <c r="W3" s="347" t="s">
        <v>11</v>
      </c>
      <c r="X3" s="368" t="s">
        <v>12</v>
      </c>
      <c r="Y3" s="348" t="s">
        <v>13</v>
      </c>
      <c r="Z3" s="347" t="s">
        <v>14</v>
      </c>
      <c r="AA3" s="373" t="s">
        <v>15</v>
      </c>
      <c r="AB3" s="375" t="s">
        <v>16</v>
      </c>
      <c r="AD3" s="346" t="s">
        <v>0</v>
      </c>
      <c r="AE3" s="349" t="s">
        <v>5</v>
      </c>
      <c r="AF3" s="350" t="s">
        <v>6</v>
      </c>
      <c r="AG3" s="350" t="s">
        <v>7</v>
      </c>
      <c r="AH3" s="350" t="s">
        <v>8</v>
      </c>
      <c r="AI3" s="351" t="s">
        <v>9</v>
      </c>
      <c r="AJ3" s="347" t="s">
        <v>10</v>
      </c>
      <c r="AK3" s="347" t="s">
        <v>11</v>
      </c>
      <c r="AL3" s="368" t="s">
        <v>12</v>
      </c>
      <c r="AM3" s="348" t="s">
        <v>13</v>
      </c>
      <c r="AN3" s="347" t="s">
        <v>14</v>
      </c>
      <c r="AO3" s="368" t="s">
        <v>15</v>
      </c>
      <c r="AP3" s="377" t="s">
        <v>16</v>
      </c>
    </row>
    <row r="4" spans="1:42">
      <c r="P4" s="353" t="s">
        <v>76</v>
      </c>
      <c r="Q4" s="148" t="s">
        <v>1</v>
      </c>
      <c r="R4" s="151" t="s">
        <v>95</v>
      </c>
      <c r="S4" s="151" t="s">
        <v>94</v>
      </c>
      <c r="T4" s="151" t="s">
        <v>19</v>
      </c>
      <c r="U4" s="352" t="s">
        <v>20</v>
      </c>
      <c r="V4" s="363" t="s">
        <v>21</v>
      </c>
      <c r="W4" s="363" t="s">
        <v>22</v>
      </c>
      <c r="X4" s="30" t="s">
        <v>23</v>
      </c>
      <c r="Y4" s="130" t="s">
        <v>24</v>
      </c>
      <c r="Z4" s="130" t="s">
        <v>25</v>
      </c>
      <c r="AA4" s="47" t="s">
        <v>26</v>
      </c>
      <c r="AB4" s="345" t="s">
        <v>27</v>
      </c>
      <c r="AD4" s="353" t="s">
        <v>76</v>
      </c>
      <c r="AE4" s="148" t="s">
        <v>1</v>
      </c>
      <c r="AF4" s="151" t="s">
        <v>95</v>
      </c>
      <c r="AG4" s="151" t="s">
        <v>94</v>
      </c>
      <c r="AH4" s="151" t="s">
        <v>19</v>
      </c>
      <c r="AI4" s="352" t="s">
        <v>20</v>
      </c>
      <c r="AJ4" s="168" t="s">
        <v>21</v>
      </c>
      <c r="AK4" s="379" t="s">
        <v>22</v>
      </c>
      <c r="AL4" s="365" t="s">
        <v>23</v>
      </c>
      <c r="AM4" s="30" t="s">
        <v>24</v>
      </c>
      <c r="AN4" s="130" t="s">
        <v>25</v>
      </c>
      <c r="AO4" s="130" t="s">
        <v>26</v>
      </c>
      <c r="AP4" s="345" t="s">
        <v>27</v>
      </c>
    </row>
    <row r="5" spans="1:42">
      <c r="P5" s="354" t="s">
        <v>77</v>
      </c>
      <c r="Q5" s="150" t="s">
        <v>17</v>
      </c>
      <c r="R5" s="148" t="s">
        <v>2</v>
      </c>
      <c r="S5" s="151" t="s">
        <v>97</v>
      </c>
      <c r="T5" s="151" t="s">
        <v>92</v>
      </c>
      <c r="U5" s="352" t="s">
        <v>96</v>
      </c>
      <c r="V5" s="360" t="s">
        <v>73</v>
      </c>
      <c r="W5" s="130" t="s">
        <v>68</v>
      </c>
      <c r="X5" s="47" t="s">
        <v>62</v>
      </c>
      <c r="Y5" s="47" t="s">
        <v>55</v>
      </c>
      <c r="Z5" s="47" t="s">
        <v>47</v>
      </c>
      <c r="AA5" s="47" t="s">
        <v>38</v>
      </c>
      <c r="AB5" s="366" t="s">
        <v>30</v>
      </c>
      <c r="AD5" s="354" t="s">
        <v>77</v>
      </c>
      <c r="AE5" s="150" t="s">
        <v>17</v>
      </c>
      <c r="AF5" s="148" t="s">
        <v>2</v>
      </c>
      <c r="AG5" s="151" t="s">
        <v>97</v>
      </c>
      <c r="AH5" s="151" t="s">
        <v>92</v>
      </c>
      <c r="AI5" s="352" t="s">
        <v>96</v>
      </c>
      <c r="AJ5" s="360" t="s">
        <v>73</v>
      </c>
      <c r="AK5" s="130" t="s">
        <v>68</v>
      </c>
      <c r="AL5" s="130" t="s">
        <v>62</v>
      </c>
      <c r="AM5" s="47" t="s">
        <v>55</v>
      </c>
      <c r="AN5" s="47" t="s">
        <v>47</v>
      </c>
      <c r="AO5" s="47" t="s">
        <v>38</v>
      </c>
      <c r="AP5" s="366" t="s">
        <v>30</v>
      </c>
    </row>
    <row r="6" spans="1:42">
      <c r="P6" s="353" t="s">
        <v>78</v>
      </c>
      <c r="Q6" s="371" t="s">
        <v>18</v>
      </c>
      <c r="R6" s="365" t="s">
        <v>93</v>
      </c>
      <c r="S6" s="148" t="s">
        <v>3</v>
      </c>
      <c r="T6" s="151" t="s">
        <v>91</v>
      </c>
      <c r="U6" s="352" t="s">
        <v>90</v>
      </c>
      <c r="V6" s="360" t="s">
        <v>74</v>
      </c>
      <c r="W6" s="47" t="s">
        <v>69</v>
      </c>
      <c r="X6" s="47" t="s">
        <v>63</v>
      </c>
      <c r="Y6" s="23" t="s">
        <v>56</v>
      </c>
      <c r="Z6" s="23" t="s">
        <v>48</v>
      </c>
      <c r="AA6" s="23" t="s">
        <v>39</v>
      </c>
      <c r="AB6" s="253" t="s">
        <v>28</v>
      </c>
      <c r="AD6" s="353" t="s">
        <v>78</v>
      </c>
      <c r="AE6" s="368" t="s">
        <v>18</v>
      </c>
      <c r="AF6" s="164" t="s">
        <v>93</v>
      </c>
      <c r="AG6" s="148" t="s">
        <v>3</v>
      </c>
      <c r="AH6" s="151" t="s">
        <v>91</v>
      </c>
      <c r="AI6" s="352" t="s">
        <v>90</v>
      </c>
      <c r="AJ6" s="360" t="s">
        <v>74</v>
      </c>
      <c r="AK6" s="130" t="s">
        <v>69</v>
      </c>
      <c r="AL6" s="47" t="s">
        <v>63</v>
      </c>
      <c r="AM6" s="47" t="s">
        <v>56</v>
      </c>
      <c r="AN6" s="23" t="s">
        <v>48</v>
      </c>
      <c r="AO6" s="23" t="s">
        <v>39</v>
      </c>
      <c r="AP6" s="253" t="s">
        <v>28</v>
      </c>
    </row>
    <row r="7" spans="1:42" ht="15.75" thickBot="1">
      <c r="P7" s="353" t="s">
        <v>79</v>
      </c>
      <c r="Q7" s="365" t="s">
        <v>98</v>
      </c>
      <c r="R7" s="365" t="s">
        <v>99</v>
      </c>
      <c r="S7" s="130" t="s">
        <v>100</v>
      </c>
      <c r="T7" s="159" t="s">
        <v>4</v>
      </c>
      <c r="U7" s="352" t="s">
        <v>89</v>
      </c>
      <c r="V7" s="363" t="s">
        <v>75</v>
      </c>
      <c r="W7" s="47" t="s">
        <v>70</v>
      </c>
      <c r="X7" s="47" t="s">
        <v>64</v>
      </c>
      <c r="Y7" s="23" t="s">
        <v>57</v>
      </c>
      <c r="Z7" s="23" t="s">
        <v>49</v>
      </c>
      <c r="AA7" s="23" t="s">
        <v>40</v>
      </c>
      <c r="AB7" s="253" t="s">
        <v>29</v>
      </c>
      <c r="AD7" s="353" t="s">
        <v>79</v>
      </c>
      <c r="AE7" s="164" t="s">
        <v>98</v>
      </c>
      <c r="AF7" s="30" t="s">
        <v>99</v>
      </c>
      <c r="AG7" s="30" t="s">
        <v>100</v>
      </c>
      <c r="AH7" s="159" t="s">
        <v>4</v>
      </c>
      <c r="AI7" s="352" t="s">
        <v>89</v>
      </c>
      <c r="AJ7" s="144" t="s">
        <v>75</v>
      </c>
      <c r="AK7" s="130" t="s">
        <v>70</v>
      </c>
      <c r="AL7" s="47" t="s">
        <v>64</v>
      </c>
      <c r="AM7" s="23" t="s">
        <v>57</v>
      </c>
      <c r="AN7" s="23" t="s">
        <v>49</v>
      </c>
      <c r="AO7" s="23" t="s">
        <v>40</v>
      </c>
      <c r="AP7" s="253" t="s">
        <v>29</v>
      </c>
    </row>
    <row r="8" spans="1:42">
      <c r="B8" s="355"/>
      <c r="C8" s="697" t="s">
        <v>293</v>
      </c>
      <c r="D8" s="698"/>
      <c r="E8" s="698"/>
      <c r="F8" s="698"/>
      <c r="G8" s="698"/>
      <c r="H8" s="698"/>
      <c r="I8" s="698"/>
      <c r="J8" s="698"/>
      <c r="K8" s="698"/>
      <c r="L8" s="698"/>
      <c r="M8" s="698"/>
      <c r="N8" s="699"/>
      <c r="P8" s="373" t="s">
        <v>80</v>
      </c>
      <c r="Q8" s="130" t="s">
        <v>101</v>
      </c>
      <c r="R8" s="47" t="s">
        <v>109</v>
      </c>
      <c r="S8" s="47" t="s">
        <v>117</v>
      </c>
      <c r="T8" s="47" t="s">
        <v>125</v>
      </c>
      <c r="U8" s="159">
        <v>99</v>
      </c>
      <c r="V8" s="373" t="s">
        <v>88</v>
      </c>
      <c r="W8" s="130" t="s">
        <v>71</v>
      </c>
      <c r="X8" s="47" t="s">
        <v>65</v>
      </c>
      <c r="Y8" s="23" t="s">
        <v>58</v>
      </c>
      <c r="Z8" s="23" t="s">
        <v>50</v>
      </c>
      <c r="AA8" s="23" t="s">
        <v>41</v>
      </c>
      <c r="AB8" s="253" t="s">
        <v>31</v>
      </c>
      <c r="AD8" s="370" t="s">
        <v>80</v>
      </c>
      <c r="AE8" s="30" t="s">
        <v>101</v>
      </c>
      <c r="AF8" s="130" t="s">
        <v>109</v>
      </c>
      <c r="AG8" s="47" t="s">
        <v>117</v>
      </c>
      <c r="AH8" s="47" t="s">
        <v>125</v>
      </c>
      <c r="AI8" s="159">
        <v>99</v>
      </c>
      <c r="AJ8" s="352" t="s">
        <v>88</v>
      </c>
      <c r="AK8" s="47" t="s">
        <v>71</v>
      </c>
      <c r="AL8" s="47" t="s">
        <v>65</v>
      </c>
      <c r="AM8" s="23" t="s">
        <v>58</v>
      </c>
      <c r="AN8" s="23" t="s">
        <v>50</v>
      </c>
      <c r="AO8" s="23" t="s">
        <v>41</v>
      </c>
      <c r="AP8" s="253" t="s">
        <v>31</v>
      </c>
    </row>
    <row r="9" spans="1:42">
      <c r="B9" s="356"/>
      <c r="C9" s="691" t="s">
        <v>294</v>
      </c>
      <c r="D9" s="692"/>
      <c r="E9" s="692"/>
      <c r="F9" s="692"/>
      <c r="G9" s="692"/>
      <c r="H9" s="692"/>
      <c r="I9" s="692"/>
      <c r="J9" s="692"/>
      <c r="K9" s="692"/>
      <c r="L9" s="692"/>
      <c r="M9" s="692"/>
      <c r="N9" s="693"/>
      <c r="P9" s="306" t="s">
        <v>81</v>
      </c>
      <c r="Q9" s="47" t="s">
        <v>102</v>
      </c>
      <c r="R9" s="23" t="s">
        <v>110</v>
      </c>
      <c r="S9" s="23" t="s">
        <v>118</v>
      </c>
      <c r="T9" s="23" t="s">
        <v>126</v>
      </c>
      <c r="U9" s="47" t="s">
        <v>133</v>
      </c>
      <c r="V9" s="151">
        <v>88</v>
      </c>
      <c r="W9" s="130" t="s">
        <v>72</v>
      </c>
      <c r="X9" s="47" t="s">
        <v>66</v>
      </c>
      <c r="Y9" s="23" t="s">
        <v>59</v>
      </c>
      <c r="Z9" s="23" t="s">
        <v>51</v>
      </c>
      <c r="AA9" s="23" t="s">
        <v>42</v>
      </c>
      <c r="AB9" s="253" t="s">
        <v>32</v>
      </c>
      <c r="AD9" s="376" t="s">
        <v>81</v>
      </c>
      <c r="AE9" s="47" t="s">
        <v>102</v>
      </c>
      <c r="AF9" s="47" t="s">
        <v>110</v>
      </c>
      <c r="AG9" s="47" t="s">
        <v>118</v>
      </c>
      <c r="AH9" s="47" t="s">
        <v>126</v>
      </c>
      <c r="AI9" s="47" t="s">
        <v>133</v>
      </c>
      <c r="AJ9" s="151">
        <v>88</v>
      </c>
      <c r="AK9" s="30" t="s">
        <v>72</v>
      </c>
      <c r="AL9" s="47" t="s">
        <v>66</v>
      </c>
      <c r="AM9" s="47" t="s">
        <v>59</v>
      </c>
      <c r="AN9" s="23" t="s">
        <v>51</v>
      </c>
      <c r="AO9" s="23" t="s">
        <v>42</v>
      </c>
      <c r="AP9" s="253" t="s">
        <v>32</v>
      </c>
    </row>
    <row r="10" spans="1:42">
      <c r="B10" s="344"/>
      <c r="C10" s="700" t="s">
        <v>295</v>
      </c>
      <c r="D10" s="701"/>
      <c r="E10" s="701"/>
      <c r="F10" s="701"/>
      <c r="G10" s="701"/>
      <c r="H10" s="701"/>
      <c r="I10" s="701"/>
      <c r="J10" s="701"/>
      <c r="K10" s="701"/>
      <c r="L10" s="701"/>
      <c r="M10" s="701"/>
      <c r="N10" s="702"/>
      <c r="P10" s="362" t="s">
        <v>82</v>
      </c>
      <c r="Q10" s="47" t="s">
        <v>103</v>
      </c>
      <c r="R10" s="23" t="s">
        <v>111</v>
      </c>
      <c r="S10" s="23" t="s">
        <v>119</v>
      </c>
      <c r="T10" s="23" t="s">
        <v>127</v>
      </c>
      <c r="U10" s="23" t="s">
        <v>134</v>
      </c>
      <c r="V10" s="23" t="s">
        <v>140</v>
      </c>
      <c r="W10" s="151">
        <v>77</v>
      </c>
      <c r="X10" s="47" t="s">
        <v>67</v>
      </c>
      <c r="Y10" s="47" t="s">
        <v>60</v>
      </c>
      <c r="Z10" s="23" t="s">
        <v>52</v>
      </c>
      <c r="AA10" s="23" t="s">
        <v>43</v>
      </c>
      <c r="AB10" s="253" t="s">
        <v>33</v>
      </c>
      <c r="AD10" s="306" t="s">
        <v>82</v>
      </c>
      <c r="AE10" s="47" t="s">
        <v>103</v>
      </c>
      <c r="AF10" s="23" t="s">
        <v>111</v>
      </c>
      <c r="AG10" s="23" t="s">
        <v>119</v>
      </c>
      <c r="AH10" s="23" t="s">
        <v>127</v>
      </c>
      <c r="AI10" s="23" t="s">
        <v>134</v>
      </c>
      <c r="AJ10" s="23" t="s">
        <v>140</v>
      </c>
      <c r="AK10" s="151">
        <v>77</v>
      </c>
      <c r="AL10" s="130" t="s">
        <v>67</v>
      </c>
      <c r="AM10" s="47" t="s">
        <v>60</v>
      </c>
      <c r="AN10" s="23" t="s">
        <v>52</v>
      </c>
      <c r="AO10" s="23" t="s">
        <v>43</v>
      </c>
      <c r="AP10" s="253" t="s">
        <v>33</v>
      </c>
    </row>
    <row r="11" spans="1:42">
      <c r="B11" s="361"/>
      <c r="C11" s="691" t="s">
        <v>296</v>
      </c>
      <c r="D11" s="692"/>
      <c r="E11" s="692"/>
      <c r="F11" s="692"/>
      <c r="G11" s="692"/>
      <c r="H11" s="692"/>
      <c r="I11" s="692"/>
      <c r="J11" s="692"/>
      <c r="K11" s="692"/>
      <c r="L11" s="692"/>
      <c r="M11" s="692"/>
      <c r="N11" s="693"/>
      <c r="P11" s="359" t="s">
        <v>83</v>
      </c>
      <c r="Q11" s="47" t="s">
        <v>108</v>
      </c>
      <c r="R11" s="23" t="s">
        <v>112</v>
      </c>
      <c r="S11" s="23" t="s">
        <v>120</v>
      </c>
      <c r="T11" s="23" t="s">
        <v>128</v>
      </c>
      <c r="U11" s="23" t="s">
        <v>135</v>
      </c>
      <c r="V11" s="23" t="s">
        <v>141</v>
      </c>
      <c r="W11" s="23" t="s">
        <v>146</v>
      </c>
      <c r="X11" s="151">
        <v>66</v>
      </c>
      <c r="Y11" s="47" t="s">
        <v>61</v>
      </c>
      <c r="Z11" s="23" t="s">
        <v>53</v>
      </c>
      <c r="AA11" s="23" t="s">
        <v>44</v>
      </c>
      <c r="AB11" s="253" t="s">
        <v>34</v>
      </c>
      <c r="AD11" s="378" t="s">
        <v>83</v>
      </c>
      <c r="AE11" s="47" t="s">
        <v>108</v>
      </c>
      <c r="AF11" s="23" t="s">
        <v>112</v>
      </c>
      <c r="AG11" s="23" t="s">
        <v>120</v>
      </c>
      <c r="AH11" s="23" t="s">
        <v>128</v>
      </c>
      <c r="AI11" s="23" t="s">
        <v>135</v>
      </c>
      <c r="AJ11" s="23" t="s">
        <v>141</v>
      </c>
      <c r="AK11" s="23" t="s">
        <v>146</v>
      </c>
      <c r="AL11" s="151">
        <v>66</v>
      </c>
      <c r="AM11" s="47" t="s">
        <v>61</v>
      </c>
      <c r="AN11" s="23" t="s">
        <v>53</v>
      </c>
      <c r="AO11" s="23" t="s">
        <v>44</v>
      </c>
      <c r="AP11" s="253" t="s">
        <v>34</v>
      </c>
    </row>
    <row r="12" spans="1:42">
      <c r="B12" s="374"/>
      <c r="C12" s="691" t="s">
        <v>297</v>
      </c>
      <c r="D12" s="692"/>
      <c r="E12" s="692"/>
      <c r="F12" s="692"/>
      <c r="G12" s="692"/>
      <c r="H12" s="692"/>
      <c r="I12" s="692"/>
      <c r="J12" s="692"/>
      <c r="K12" s="692"/>
      <c r="L12" s="692"/>
      <c r="M12" s="692"/>
      <c r="N12" s="693"/>
      <c r="P12" s="359" t="s">
        <v>84</v>
      </c>
      <c r="Q12" s="23" t="s">
        <v>104</v>
      </c>
      <c r="R12" s="23" t="s">
        <v>113</v>
      </c>
      <c r="S12" s="23" t="s">
        <v>121</v>
      </c>
      <c r="T12" s="23" t="s">
        <v>129</v>
      </c>
      <c r="U12" s="23" t="s">
        <v>136</v>
      </c>
      <c r="V12" s="23" t="s">
        <v>142</v>
      </c>
      <c r="W12" s="23" t="s">
        <v>147</v>
      </c>
      <c r="X12" s="23" t="s">
        <v>151</v>
      </c>
      <c r="Y12" s="151">
        <v>55</v>
      </c>
      <c r="Z12" s="47" t="s">
        <v>54</v>
      </c>
      <c r="AA12" s="23" t="s">
        <v>45</v>
      </c>
      <c r="AB12" s="253" t="s">
        <v>35</v>
      </c>
      <c r="AD12" s="378" t="s">
        <v>84</v>
      </c>
      <c r="AE12" s="23" t="s">
        <v>104</v>
      </c>
      <c r="AF12" s="23" t="s">
        <v>113</v>
      </c>
      <c r="AG12" s="23" t="s">
        <v>121</v>
      </c>
      <c r="AH12" s="23" t="s">
        <v>129</v>
      </c>
      <c r="AI12" s="23" t="s">
        <v>136</v>
      </c>
      <c r="AJ12" s="23" t="s">
        <v>142</v>
      </c>
      <c r="AK12" s="23" t="s">
        <v>147</v>
      </c>
      <c r="AL12" s="23" t="s">
        <v>151</v>
      </c>
      <c r="AM12" s="151">
        <v>55</v>
      </c>
      <c r="AN12" s="47" t="s">
        <v>54</v>
      </c>
      <c r="AO12" s="23" t="s">
        <v>45</v>
      </c>
      <c r="AP12" s="253" t="s">
        <v>35</v>
      </c>
    </row>
    <row r="13" spans="1:42">
      <c r="A13" s="213"/>
      <c r="B13" s="372"/>
      <c r="C13" s="691" t="s">
        <v>298</v>
      </c>
      <c r="D13" s="692"/>
      <c r="E13" s="692"/>
      <c r="F13" s="692"/>
      <c r="G13" s="692"/>
      <c r="H13" s="692"/>
      <c r="I13" s="692"/>
      <c r="J13" s="692"/>
      <c r="K13" s="692"/>
      <c r="L13" s="692"/>
      <c r="M13" s="692"/>
      <c r="N13" s="693"/>
      <c r="P13" s="364" t="s">
        <v>85</v>
      </c>
      <c r="Q13" s="23" t="s">
        <v>105</v>
      </c>
      <c r="R13" s="23" t="s">
        <v>114</v>
      </c>
      <c r="S13" s="23" t="s">
        <v>122</v>
      </c>
      <c r="T13" s="23" t="s">
        <v>130</v>
      </c>
      <c r="U13" s="23" t="s">
        <v>137</v>
      </c>
      <c r="V13" s="23" t="s">
        <v>143</v>
      </c>
      <c r="W13" s="23" t="s">
        <v>148</v>
      </c>
      <c r="X13" s="23" t="s">
        <v>152</v>
      </c>
      <c r="Y13" s="23" t="s">
        <v>155</v>
      </c>
      <c r="Z13" s="151">
        <v>44</v>
      </c>
      <c r="AA13" s="23" t="s">
        <v>46</v>
      </c>
      <c r="AB13" s="253" t="s">
        <v>36</v>
      </c>
      <c r="AD13" s="282" t="s">
        <v>85</v>
      </c>
      <c r="AE13" s="23" t="s">
        <v>105</v>
      </c>
      <c r="AF13" s="23" t="s">
        <v>114</v>
      </c>
      <c r="AG13" s="23" t="s">
        <v>122</v>
      </c>
      <c r="AH13" s="23" t="s">
        <v>130</v>
      </c>
      <c r="AI13" s="23" t="s">
        <v>137</v>
      </c>
      <c r="AJ13" s="23" t="s">
        <v>143</v>
      </c>
      <c r="AK13" s="23" t="s">
        <v>148</v>
      </c>
      <c r="AL13" s="23" t="s">
        <v>152</v>
      </c>
      <c r="AM13" s="23" t="s">
        <v>155</v>
      </c>
      <c r="AN13" s="151">
        <v>44</v>
      </c>
      <c r="AO13" s="23" t="s">
        <v>46</v>
      </c>
      <c r="AP13" s="253" t="s">
        <v>36</v>
      </c>
    </row>
    <row r="14" spans="1:42">
      <c r="A14" s="213"/>
      <c r="B14" s="367"/>
      <c r="C14" s="691" t="s">
        <v>299</v>
      </c>
      <c r="D14" s="692"/>
      <c r="E14" s="692"/>
      <c r="F14" s="692"/>
      <c r="G14" s="692"/>
      <c r="H14" s="692"/>
      <c r="I14" s="692"/>
      <c r="J14" s="692"/>
      <c r="K14" s="692"/>
      <c r="L14" s="692"/>
      <c r="M14" s="692"/>
      <c r="N14" s="693"/>
      <c r="P14" s="364" t="s">
        <v>86</v>
      </c>
      <c r="Q14" s="23" t="s">
        <v>106</v>
      </c>
      <c r="R14" s="23" t="s">
        <v>115</v>
      </c>
      <c r="S14" s="23" t="s">
        <v>123</v>
      </c>
      <c r="T14" s="23" t="s">
        <v>131</v>
      </c>
      <c r="U14" s="23" t="s">
        <v>138</v>
      </c>
      <c r="V14" s="23" t="s">
        <v>144</v>
      </c>
      <c r="W14" s="23" t="s">
        <v>149</v>
      </c>
      <c r="X14" s="23" t="s">
        <v>153</v>
      </c>
      <c r="Y14" s="23" t="s">
        <v>156</v>
      </c>
      <c r="Z14" s="23" t="s">
        <v>158</v>
      </c>
      <c r="AA14" s="369">
        <v>33</v>
      </c>
      <c r="AB14" s="253" t="s">
        <v>37</v>
      </c>
      <c r="AD14" s="282" t="s">
        <v>86</v>
      </c>
      <c r="AE14" s="23" t="s">
        <v>106</v>
      </c>
      <c r="AF14" s="23" t="s">
        <v>115</v>
      </c>
      <c r="AG14" s="23" t="s">
        <v>123</v>
      </c>
      <c r="AH14" s="23" t="s">
        <v>131</v>
      </c>
      <c r="AI14" s="23" t="s">
        <v>138</v>
      </c>
      <c r="AJ14" s="23" t="s">
        <v>144</v>
      </c>
      <c r="AK14" s="23" t="s">
        <v>149</v>
      </c>
      <c r="AL14" s="23" t="s">
        <v>153</v>
      </c>
      <c r="AM14" s="23" t="s">
        <v>156</v>
      </c>
      <c r="AN14" s="23" t="s">
        <v>158</v>
      </c>
      <c r="AO14" s="151">
        <v>33</v>
      </c>
      <c r="AP14" s="253" t="s">
        <v>37</v>
      </c>
    </row>
    <row r="15" spans="1:42" ht="15.75" thickBot="1">
      <c r="A15" s="213"/>
      <c r="B15" s="357"/>
      <c r="C15" s="694" t="s">
        <v>300</v>
      </c>
      <c r="D15" s="695"/>
      <c r="E15" s="695"/>
      <c r="F15" s="695"/>
      <c r="G15" s="695"/>
      <c r="H15" s="695"/>
      <c r="I15" s="695"/>
      <c r="J15" s="695"/>
      <c r="K15" s="695"/>
      <c r="L15" s="695"/>
      <c r="M15" s="695"/>
      <c r="N15" s="696"/>
      <c r="P15" s="259" t="s">
        <v>87</v>
      </c>
      <c r="Q15" s="260" t="s">
        <v>107</v>
      </c>
      <c r="R15" s="260" t="s">
        <v>116</v>
      </c>
      <c r="S15" s="260" t="s">
        <v>124</v>
      </c>
      <c r="T15" s="260" t="s">
        <v>132</v>
      </c>
      <c r="U15" s="260" t="s">
        <v>139</v>
      </c>
      <c r="V15" s="260" t="s">
        <v>145</v>
      </c>
      <c r="W15" s="260" t="s">
        <v>150</v>
      </c>
      <c r="X15" s="260" t="s">
        <v>154</v>
      </c>
      <c r="Y15" s="260" t="s">
        <v>157</v>
      </c>
      <c r="Z15" s="260" t="s">
        <v>160</v>
      </c>
      <c r="AA15" s="358" t="s">
        <v>159</v>
      </c>
      <c r="AB15" s="306">
        <v>22</v>
      </c>
      <c r="AD15" s="380" t="s">
        <v>87</v>
      </c>
      <c r="AE15" s="260" t="s">
        <v>107</v>
      </c>
      <c r="AF15" s="260" t="s">
        <v>116</v>
      </c>
      <c r="AG15" s="260" t="s">
        <v>124</v>
      </c>
      <c r="AH15" s="260" t="s">
        <v>132</v>
      </c>
      <c r="AI15" s="260" t="s">
        <v>139</v>
      </c>
      <c r="AJ15" s="260" t="s">
        <v>145</v>
      </c>
      <c r="AK15" s="260" t="s">
        <v>150</v>
      </c>
      <c r="AL15" s="260" t="s">
        <v>154</v>
      </c>
      <c r="AM15" s="260" t="s">
        <v>157</v>
      </c>
      <c r="AN15" s="260" t="s">
        <v>160</v>
      </c>
      <c r="AO15" s="260" t="s">
        <v>159</v>
      </c>
      <c r="AP15" s="486">
        <v>22</v>
      </c>
    </row>
    <row r="16" spans="1:42" ht="15.75" thickBot="1">
      <c r="A16" s="43"/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43"/>
      <c r="P16" s="43"/>
      <c r="Q16" s="43"/>
      <c r="R16" s="43"/>
      <c r="S16" s="43"/>
      <c r="T16" s="43"/>
      <c r="U16" s="43"/>
      <c r="V16" s="43"/>
      <c r="W16" s="43"/>
    </row>
    <row r="17" spans="1:42">
      <c r="A17" s="43"/>
      <c r="B17" s="688" t="s">
        <v>200</v>
      </c>
      <c r="C17" s="689"/>
      <c r="D17" s="689"/>
      <c r="E17" s="689"/>
      <c r="F17" s="689"/>
      <c r="G17" s="689"/>
      <c r="H17" s="689"/>
      <c r="I17" s="689"/>
      <c r="J17" s="689"/>
      <c r="K17" s="689"/>
      <c r="L17" s="689"/>
      <c r="M17" s="689"/>
      <c r="N17" s="690"/>
      <c r="O17" s="43"/>
      <c r="P17" s="688" t="s">
        <v>201</v>
      </c>
      <c r="Q17" s="689"/>
      <c r="R17" s="689"/>
      <c r="S17" s="689"/>
      <c r="T17" s="689"/>
      <c r="U17" s="689"/>
      <c r="V17" s="689"/>
      <c r="W17" s="689"/>
      <c r="X17" s="689"/>
      <c r="Y17" s="689"/>
      <c r="Z17" s="689"/>
      <c r="AA17" s="689"/>
      <c r="AB17" s="690"/>
      <c r="AD17" s="688" t="s">
        <v>202</v>
      </c>
      <c r="AE17" s="689"/>
      <c r="AF17" s="689"/>
      <c r="AG17" s="689"/>
      <c r="AH17" s="689"/>
      <c r="AI17" s="689"/>
      <c r="AJ17" s="689"/>
      <c r="AK17" s="689"/>
      <c r="AL17" s="689"/>
      <c r="AM17" s="689"/>
      <c r="AN17" s="689"/>
      <c r="AO17" s="689"/>
      <c r="AP17" s="690"/>
    </row>
    <row r="18" spans="1:42">
      <c r="A18" s="43"/>
      <c r="B18" s="346" t="s">
        <v>0</v>
      </c>
      <c r="C18" s="349" t="s">
        <v>5</v>
      </c>
      <c r="D18" s="350" t="s">
        <v>6</v>
      </c>
      <c r="E18" s="350" t="s">
        <v>7</v>
      </c>
      <c r="F18" s="350" t="s">
        <v>8</v>
      </c>
      <c r="G18" s="351" t="s">
        <v>9</v>
      </c>
      <c r="H18" s="347" t="s">
        <v>10</v>
      </c>
      <c r="I18" s="347" t="s">
        <v>11</v>
      </c>
      <c r="J18" s="347" t="s">
        <v>12</v>
      </c>
      <c r="K18" s="348" t="s">
        <v>13</v>
      </c>
      <c r="L18" s="347" t="s">
        <v>14</v>
      </c>
      <c r="M18" s="347" t="s">
        <v>15</v>
      </c>
      <c r="N18" s="381" t="s">
        <v>16</v>
      </c>
      <c r="O18" s="43"/>
      <c r="P18" s="346" t="s">
        <v>0</v>
      </c>
      <c r="Q18" s="349" t="s">
        <v>5</v>
      </c>
      <c r="R18" s="350" t="s">
        <v>6</v>
      </c>
      <c r="S18" s="350" t="s">
        <v>7</v>
      </c>
      <c r="T18" s="350" t="s">
        <v>8</v>
      </c>
      <c r="U18" s="351" t="s">
        <v>9</v>
      </c>
      <c r="V18" s="347" t="s">
        <v>10</v>
      </c>
      <c r="W18" s="347" t="s">
        <v>11</v>
      </c>
      <c r="X18" s="347" t="s">
        <v>12</v>
      </c>
      <c r="Y18" s="348" t="s">
        <v>13</v>
      </c>
      <c r="Z18" s="347" t="s">
        <v>14</v>
      </c>
      <c r="AA18" s="347" t="s">
        <v>15</v>
      </c>
      <c r="AB18" s="381" t="s">
        <v>16</v>
      </c>
      <c r="AD18" s="346" t="s">
        <v>0</v>
      </c>
      <c r="AE18" s="349" t="s">
        <v>5</v>
      </c>
      <c r="AF18" s="350" t="s">
        <v>6</v>
      </c>
      <c r="AG18" s="350" t="s">
        <v>7</v>
      </c>
      <c r="AH18" s="350" t="s">
        <v>8</v>
      </c>
      <c r="AI18" s="351" t="s">
        <v>9</v>
      </c>
      <c r="AJ18" s="347" t="s">
        <v>10</v>
      </c>
      <c r="AK18" s="347" t="s">
        <v>11</v>
      </c>
      <c r="AL18" s="347" t="s">
        <v>12</v>
      </c>
      <c r="AM18" s="348" t="s">
        <v>13</v>
      </c>
      <c r="AN18" s="347" t="s">
        <v>14</v>
      </c>
      <c r="AO18" s="347" t="s">
        <v>15</v>
      </c>
      <c r="AP18" s="381" t="s">
        <v>16</v>
      </c>
    </row>
    <row r="19" spans="1:42">
      <c r="A19" s="43"/>
      <c r="B19" s="353" t="s">
        <v>76</v>
      </c>
      <c r="C19" s="148" t="s">
        <v>1</v>
      </c>
      <c r="D19" s="151" t="s">
        <v>95</v>
      </c>
      <c r="E19" s="151" t="s">
        <v>94</v>
      </c>
      <c r="F19" s="151" t="s">
        <v>19</v>
      </c>
      <c r="G19" s="352" t="s">
        <v>20</v>
      </c>
      <c r="H19" s="145" t="s">
        <v>21</v>
      </c>
      <c r="I19" s="168" t="s">
        <v>22</v>
      </c>
      <c r="J19" s="164" t="s">
        <v>23</v>
      </c>
      <c r="K19" s="365" t="s">
        <v>24</v>
      </c>
      <c r="L19" s="30" t="s">
        <v>25</v>
      </c>
      <c r="M19" s="130" t="s">
        <v>26</v>
      </c>
      <c r="N19" s="386" t="s">
        <v>27</v>
      </c>
      <c r="O19" s="43"/>
      <c r="P19" s="353" t="s">
        <v>76</v>
      </c>
      <c r="Q19" s="148" t="s">
        <v>1</v>
      </c>
      <c r="R19" s="151" t="s">
        <v>95</v>
      </c>
      <c r="S19" s="151" t="s">
        <v>94</v>
      </c>
      <c r="T19" s="151" t="s">
        <v>19</v>
      </c>
      <c r="U19" s="352" t="s">
        <v>20</v>
      </c>
      <c r="V19" s="369" t="s">
        <v>21</v>
      </c>
      <c r="W19" s="369" t="s">
        <v>22</v>
      </c>
      <c r="X19" s="144" t="s">
        <v>23</v>
      </c>
      <c r="Y19" s="164" t="s">
        <v>24</v>
      </c>
      <c r="Z19" s="365" t="s">
        <v>25</v>
      </c>
      <c r="AA19" s="30" t="s">
        <v>26</v>
      </c>
      <c r="AB19" s="386" t="s">
        <v>27</v>
      </c>
      <c r="AD19" s="353" t="s">
        <v>76</v>
      </c>
      <c r="AE19" s="148" t="s">
        <v>1</v>
      </c>
      <c r="AF19" s="151" t="s">
        <v>95</v>
      </c>
      <c r="AG19" s="151" t="s">
        <v>94</v>
      </c>
      <c r="AH19" s="151" t="s">
        <v>19</v>
      </c>
      <c r="AI19" s="352" t="s">
        <v>20</v>
      </c>
      <c r="AJ19" s="352" t="s">
        <v>21</v>
      </c>
      <c r="AK19" s="371" t="s">
        <v>22</v>
      </c>
      <c r="AL19" s="371" t="s">
        <v>23</v>
      </c>
      <c r="AM19" s="371" t="s">
        <v>24</v>
      </c>
      <c r="AN19" s="164" t="s">
        <v>25</v>
      </c>
      <c r="AO19" s="164" t="s">
        <v>26</v>
      </c>
      <c r="AP19" s="391" t="s">
        <v>27</v>
      </c>
    </row>
    <row r="20" spans="1:42">
      <c r="A20" s="43"/>
      <c r="B20" s="354" t="s">
        <v>77</v>
      </c>
      <c r="C20" s="150" t="s">
        <v>17</v>
      </c>
      <c r="D20" s="148" t="s">
        <v>2</v>
      </c>
      <c r="E20" s="151" t="s">
        <v>97</v>
      </c>
      <c r="F20" s="151" t="s">
        <v>92</v>
      </c>
      <c r="G20" s="352" t="s">
        <v>96</v>
      </c>
      <c r="H20" s="379" t="s">
        <v>73</v>
      </c>
      <c r="I20" s="30" t="s">
        <v>68</v>
      </c>
      <c r="J20" s="130" t="s">
        <v>62</v>
      </c>
      <c r="K20" s="130" t="s">
        <v>55</v>
      </c>
      <c r="L20" s="47" t="s">
        <v>47</v>
      </c>
      <c r="M20" s="47" t="s">
        <v>38</v>
      </c>
      <c r="N20" s="366" t="s">
        <v>30</v>
      </c>
      <c r="O20" s="43"/>
      <c r="P20" s="354" t="s">
        <v>77</v>
      </c>
      <c r="Q20" s="150" t="s">
        <v>17</v>
      </c>
      <c r="R20" s="148" t="s">
        <v>2</v>
      </c>
      <c r="S20" s="151" t="s">
        <v>97</v>
      </c>
      <c r="T20" s="151" t="s">
        <v>92</v>
      </c>
      <c r="U20" s="352" t="s">
        <v>96</v>
      </c>
      <c r="V20" s="168" t="s">
        <v>73</v>
      </c>
      <c r="W20" s="30" t="s">
        <v>68</v>
      </c>
      <c r="X20" s="30" t="s">
        <v>62</v>
      </c>
      <c r="Y20" s="30" t="s">
        <v>55</v>
      </c>
      <c r="Z20" s="130" t="s">
        <v>47</v>
      </c>
      <c r="AA20" s="47" t="s">
        <v>38</v>
      </c>
      <c r="AB20" s="366" t="s">
        <v>30</v>
      </c>
      <c r="AD20" s="354" t="s">
        <v>77</v>
      </c>
      <c r="AE20" s="150" t="s">
        <v>17</v>
      </c>
      <c r="AF20" s="148" t="s">
        <v>2</v>
      </c>
      <c r="AG20" s="151" t="s">
        <v>97</v>
      </c>
      <c r="AH20" s="151" t="s">
        <v>92</v>
      </c>
      <c r="AI20" s="352" t="s">
        <v>96</v>
      </c>
      <c r="AJ20" s="145" t="s">
        <v>73</v>
      </c>
      <c r="AK20" s="164" t="s">
        <v>68</v>
      </c>
      <c r="AL20" s="365" t="s">
        <v>62</v>
      </c>
      <c r="AM20" s="365" t="s">
        <v>55</v>
      </c>
      <c r="AN20" s="30" t="s">
        <v>47</v>
      </c>
      <c r="AO20" s="130" t="s">
        <v>38</v>
      </c>
      <c r="AP20" s="366" t="s">
        <v>30</v>
      </c>
    </row>
    <row r="21" spans="1:42">
      <c r="A21" s="43"/>
      <c r="B21" s="353" t="s">
        <v>78</v>
      </c>
      <c r="C21" s="131" t="s">
        <v>18</v>
      </c>
      <c r="D21" s="371" t="s">
        <v>93</v>
      </c>
      <c r="E21" s="148" t="s">
        <v>3</v>
      </c>
      <c r="F21" s="151" t="s">
        <v>91</v>
      </c>
      <c r="G21" s="352" t="s">
        <v>90</v>
      </c>
      <c r="H21" s="145" t="s">
        <v>74</v>
      </c>
      <c r="I21" s="130" t="s">
        <v>69</v>
      </c>
      <c r="J21" s="47" t="s">
        <v>63</v>
      </c>
      <c r="K21" s="47" t="s">
        <v>56</v>
      </c>
      <c r="L21" s="47" t="s">
        <v>48</v>
      </c>
      <c r="M21" s="23" t="s">
        <v>39</v>
      </c>
      <c r="N21" s="253" t="s">
        <v>28</v>
      </c>
      <c r="O21" s="43"/>
      <c r="P21" s="353" t="s">
        <v>78</v>
      </c>
      <c r="Q21" s="131" t="s">
        <v>18</v>
      </c>
      <c r="R21" s="131" t="s">
        <v>93</v>
      </c>
      <c r="S21" s="148" t="s">
        <v>3</v>
      </c>
      <c r="T21" s="151" t="s">
        <v>91</v>
      </c>
      <c r="U21" s="352" t="s">
        <v>90</v>
      </c>
      <c r="V21" s="369" t="s">
        <v>74</v>
      </c>
      <c r="W21" s="30" t="s">
        <v>69</v>
      </c>
      <c r="X21" s="130" t="s">
        <v>63</v>
      </c>
      <c r="Y21" s="47" t="s">
        <v>56</v>
      </c>
      <c r="Z21" s="47" t="s">
        <v>48</v>
      </c>
      <c r="AA21" s="47" t="s">
        <v>39</v>
      </c>
      <c r="AB21" s="253" t="s">
        <v>28</v>
      </c>
      <c r="AD21" s="353" t="s">
        <v>78</v>
      </c>
      <c r="AE21" s="131" t="s">
        <v>18</v>
      </c>
      <c r="AF21" s="131" t="s">
        <v>93</v>
      </c>
      <c r="AG21" s="148" t="s">
        <v>3</v>
      </c>
      <c r="AH21" s="151" t="s">
        <v>91</v>
      </c>
      <c r="AI21" s="352" t="s">
        <v>90</v>
      </c>
      <c r="AJ21" s="352" t="s">
        <v>74</v>
      </c>
      <c r="AK21" s="365" t="s">
        <v>69</v>
      </c>
      <c r="AL21" s="130" t="s">
        <v>63</v>
      </c>
      <c r="AM21" s="130" t="s">
        <v>56</v>
      </c>
      <c r="AN21" s="47" t="s">
        <v>48</v>
      </c>
      <c r="AO21" s="47" t="s">
        <v>39</v>
      </c>
      <c r="AP21" s="366" t="s">
        <v>28</v>
      </c>
    </row>
    <row r="22" spans="1:42">
      <c r="A22" s="43"/>
      <c r="B22" s="353" t="s">
        <v>79</v>
      </c>
      <c r="C22" s="144" t="s">
        <v>98</v>
      </c>
      <c r="D22" s="365" t="s">
        <v>99</v>
      </c>
      <c r="E22" s="365" t="s">
        <v>100</v>
      </c>
      <c r="F22" s="159" t="s">
        <v>4</v>
      </c>
      <c r="G22" s="352" t="s">
        <v>89</v>
      </c>
      <c r="H22" s="371" t="s">
        <v>75</v>
      </c>
      <c r="I22" s="130" t="s">
        <v>70</v>
      </c>
      <c r="J22" s="47" t="s">
        <v>64</v>
      </c>
      <c r="K22" s="23" t="s">
        <v>57</v>
      </c>
      <c r="L22" s="23" t="s">
        <v>49</v>
      </c>
      <c r="M22" s="23" t="s">
        <v>40</v>
      </c>
      <c r="N22" s="253" t="s">
        <v>29</v>
      </c>
      <c r="O22" s="43"/>
      <c r="P22" s="353" t="s">
        <v>79</v>
      </c>
      <c r="Q22" s="369" t="s">
        <v>98</v>
      </c>
      <c r="R22" s="144" t="s">
        <v>99</v>
      </c>
      <c r="S22" s="144" t="s">
        <v>100</v>
      </c>
      <c r="T22" s="159" t="s">
        <v>4</v>
      </c>
      <c r="U22" s="352" t="s">
        <v>89</v>
      </c>
      <c r="V22" s="369" t="s">
        <v>75</v>
      </c>
      <c r="W22" s="30" t="s">
        <v>70</v>
      </c>
      <c r="X22" s="130" t="s">
        <v>64</v>
      </c>
      <c r="Y22" s="47" t="s">
        <v>57</v>
      </c>
      <c r="Z22" s="47" t="s">
        <v>49</v>
      </c>
      <c r="AA22" s="23" t="s">
        <v>40</v>
      </c>
      <c r="AB22" s="253" t="s">
        <v>29</v>
      </c>
      <c r="AD22" s="353" t="s">
        <v>79</v>
      </c>
      <c r="AE22" s="131" t="s">
        <v>98</v>
      </c>
      <c r="AF22" s="131" t="s">
        <v>99</v>
      </c>
      <c r="AG22" s="131" t="s">
        <v>100</v>
      </c>
      <c r="AH22" s="159" t="s">
        <v>4</v>
      </c>
      <c r="AI22" s="352" t="s">
        <v>89</v>
      </c>
      <c r="AJ22" s="352" t="s">
        <v>75</v>
      </c>
      <c r="AK22" s="144" t="s">
        <v>70</v>
      </c>
      <c r="AL22" s="130" t="s">
        <v>64</v>
      </c>
      <c r="AM22" s="47" t="s">
        <v>57</v>
      </c>
      <c r="AN22" s="47" t="s">
        <v>49</v>
      </c>
      <c r="AO22" s="47" t="s">
        <v>40</v>
      </c>
      <c r="AP22" s="253" t="s">
        <v>29</v>
      </c>
    </row>
    <row r="23" spans="1:42">
      <c r="A23" s="43"/>
      <c r="B23" s="353" t="s">
        <v>80</v>
      </c>
      <c r="C23" s="30" t="s">
        <v>101</v>
      </c>
      <c r="D23" s="130" t="s">
        <v>109</v>
      </c>
      <c r="E23" s="130" t="s">
        <v>117</v>
      </c>
      <c r="F23" s="130" t="s">
        <v>125</v>
      </c>
      <c r="G23" s="159">
        <v>99</v>
      </c>
      <c r="H23" s="371" t="s">
        <v>88</v>
      </c>
      <c r="I23" s="30" t="s">
        <v>71</v>
      </c>
      <c r="J23" s="47" t="s">
        <v>65</v>
      </c>
      <c r="K23" s="23" t="s">
        <v>58</v>
      </c>
      <c r="L23" s="23" t="s">
        <v>50</v>
      </c>
      <c r="M23" s="23" t="s">
        <v>41</v>
      </c>
      <c r="N23" s="253" t="s">
        <v>31</v>
      </c>
      <c r="O23" s="43"/>
      <c r="P23" s="353" t="s">
        <v>80</v>
      </c>
      <c r="Q23" s="365" t="s">
        <v>101</v>
      </c>
      <c r="R23" s="30" t="s">
        <v>109</v>
      </c>
      <c r="S23" s="130" t="s">
        <v>117</v>
      </c>
      <c r="T23" s="130" t="s">
        <v>125</v>
      </c>
      <c r="U23" s="159">
        <v>99</v>
      </c>
      <c r="V23" s="131" t="s">
        <v>88</v>
      </c>
      <c r="W23" s="365" t="s">
        <v>71</v>
      </c>
      <c r="X23" s="130" t="s">
        <v>65</v>
      </c>
      <c r="Y23" s="47" t="s">
        <v>58</v>
      </c>
      <c r="Z23" s="23" t="s">
        <v>50</v>
      </c>
      <c r="AA23" s="23" t="s">
        <v>41</v>
      </c>
      <c r="AB23" s="253" t="s">
        <v>31</v>
      </c>
      <c r="AD23" s="353" t="s">
        <v>80</v>
      </c>
      <c r="AE23" s="144" t="s">
        <v>101</v>
      </c>
      <c r="AF23" s="365" t="s">
        <v>109</v>
      </c>
      <c r="AG23" s="30" t="s">
        <v>117</v>
      </c>
      <c r="AH23" s="30" t="s">
        <v>125</v>
      </c>
      <c r="AI23" s="159">
        <v>99</v>
      </c>
      <c r="AJ23" s="352" t="s">
        <v>88</v>
      </c>
      <c r="AK23" s="371" t="s">
        <v>71</v>
      </c>
      <c r="AL23" s="130" t="s">
        <v>65</v>
      </c>
      <c r="AM23" s="47" t="s">
        <v>58</v>
      </c>
      <c r="AN23" s="23" t="s">
        <v>50</v>
      </c>
      <c r="AO23" s="23" t="s">
        <v>41</v>
      </c>
      <c r="AP23" s="253" t="s">
        <v>31</v>
      </c>
    </row>
    <row r="24" spans="1:42">
      <c r="A24" s="43"/>
      <c r="B24" s="488" t="s">
        <v>81</v>
      </c>
      <c r="C24" s="130" t="s">
        <v>102</v>
      </c>
      <c r="D24" s="47" t="s">
        <v>110</v>
      </c>
      <c r="E24" s="47" t="s">
        <v>118</v>
      </c>
      <c r="F24" s="47" t="s">
        <v>126</v>
      </c>
      <c r="G24" s="47" t="s">
        <v>133</v>
      </c>
      <c r="H24" s="151">
        <v>88</v>
      </c>
      <c r="I24" s="371" t="s">
        <v>72</v>
      </c>
      <c r="J24" s="130" t="s">
        <v>66</v>
      </c>
      <c r="K24" s="47" t="s">
        <v>59</v>
      </c>
      <c r="L24" s="23" t="s">
        <v>51</v>
      </c>
      <c r="M24" s="23" t="s">
        <v>42</v>
      </c>
      <c r="N24" s="253" t="s">
        <v>32</v>
      </c>
      <c r="O24" s="43"/>
      <c r="P24" s="383" t="s">
        <v>81</v>
      </c>
      <c r="Q24" s="30" t="s">
        <v>102</v>
      </c>
      <c r="R24" s="130" t="s">
        <v>110</v>
      </c>
      <c r="S24" s="47" t="s">
        <v>118</v>
      </c>
      <c r="T24" s="47" t="s">
        <v>126</v>
      </c>
      <c r="U24" s="47" t="s">
        <v>133</v>
      </c>
      <c r="V24" s="151">
        <v>88</v>
      </c>
      <c r="W24" s="369" t="s">
        <v>72</v>
      </c>
      <c r="X24" s="130" t="s">
        <v>66</v>
      </c>
      <c r="Y24" s="47" t="s">
        <v>59</v>
      </c>
      <c r="Z24" s="23" t="s">
        <v>51</v>
      </c>
      <c r="AA24" s="23" t="s">
        <v>42</v>
      </c>
      <c r="AB24" s="253" t="s">
        <v>32</v>
      </c>
      <c r="AD24" s="383" t="s">
        <v>81</v>
      </c>
      <c r="AE24" s="365" t="s">
        <v>102</v>
      </c>
      <c r="AF24" s="30" t="s">
        <v>110</v>
      </c>
      <c r="AG24" s="130" t="s">
        <v>118</v>
      </c>
      <c r="AH24" s="130" t="s">
        <v>126</v>
      </c>
      <c r="AI24" s="130" t="s">
        <v>133</v>
      </c>
      <c r="AJ24" s="151">
        <v>88</v>
      </c>
      <c r="AK24" s="131" t="s">
        <v>72</v>
      </c>
      <c r="AL24" s="144" t="s">
        <v>66</v>
      </c>
      <c r="AM24" s="47" t="s">
        <v>59</v>
      </c>
      <c r="AN24" s="23" t="s">
        <v>51</v>
      </c>
      <c r="AO24" s="23" t="s">
        <v>42</v>
      </c>
      <c r="AP24" s="253" t="s">
        <v>32</v>
      </c>
    </row>
    <row r="25" spans="1:42">
      <c r="A25" s="43"/>
      <c r="B25" s="487" t="s">
        <v>82</v>
      </c>
      <c r="C25" s="130" t="s">
        <v>103</v>
      </c>
      <c r="D25" s="23" t="s">
        <v>111</v>
      </c>
      <c r="E25" s="23" t="s">
        <v>119</v>
      </c>
      <c r="F25" s="23" t="s">
        <v>127</v>
      </c>
      <c r="G25" s="23" t="s">
        <v>134</v>
      </c>
      <c r="H25" s="47" t="s">
        <v>140</v>
      </c>
      <c r="I25" s="151">
        <v>77</v>
      </c>
      <c r="J25" s="130" t="s">
        <v>67</v>
      </c>
      <c r="K25" s="47" t="s">
        <v>60</v>
      </c>
      <c r="L25" s="23" t="s">
        <v>52</v>
      </c>
      <c r="M25" s="23" t="s">
        <v>43</v>
      </c>
      <c r="N25" s="253" t="s">
        <v>33</v>
      </c>
      <c r="O25" s="43"/>
      <c r="P25" s="489" t="s">
        <v>82</v>
      </c>
      <c r="Q25" s="130" t="s">
        <v>103</v>
      </c>
      <c r="R25" s="47" t="s">
        <v>111</v>
      </c>
      <c r="S25" s="23" t="s">
        <v>119</v>
      </c>
      <c r="T25" s="23" t="s">
        <v>127</v>
      </c>
      <c r="U25" s="47" t="s">
        <v>134</v>
      </c>
      <c r="V25" s="47" t="s">
        <v>140</v>
      </c>
      <c r="W25" s="151">
        <v>77</v>
      </c>
      <c r="X25" s="365" t="s">
        <v>67</v>
      </c>
      <c r="Y25" s="47" t="s">
        <v>60</v>
      </c>
      <c r="Z25" s="47" t="s">
        <v>52</v>
      </c>
      <c r="AA25" s="23" t="s">
        <v>43</v>
      </c>
      <c r="AB25" s="253" t="s">
        <v>33</v>
      </c>
      <c r="AD25" s="383" t="s">
        <v>82</v>
      </c>
      <c r="AE25" s="365" t="s">
        <v>103</v>
      </c>
      <c r="AF25" s="47" t="s">
        <v>111</v>
      </c>
      <c r="AG25" s="47" t="s">
        <v>119</v>
      </c>
      <c r="AH25" s="47" t="s">
        <v>127</v>
      </c>
      <c r="AI25" s="47" t="s">
        <v>134</v>
      </c>
      <c r="AJ25" s="47" t="s">
        <v>140</v>
      </c>
      <c r="AK25" s="151">
        <v>77</v>
      </c>
      <c r="AL25" s="371" t="s">
        <v>67</v>
      </c>
      <c r="AM25" s="47" t="s">
        <v>60</v>
      </c>
      <c r="AN25" s="47" t="s">
        <v>52</v>
      </c>
      <c r="AO25" s="23" t="s">
        <v>43</v>
      </c>
      <c r="AP25" s="253" t="s">
        <v>33</v>
      </c>
    </row>
    <row r="26" spans="1:42">
      <c r="A26" s="43"/>
      <c r="B26" s="306" t="s">
        <v>83</v>
      </c>
      <c r="C26" s="47" t="s">
        <v>108</v>
      </c>
      <c r="D26" s="23" t="s">
        <v>112</v>
      </c>
      <c r="E26" s="23" t="s">
        <v>120</v>
      </c>
      <c r="F26" s="23" t="s">
        <v>128</v>
      </c>
      <c r="G26" s="23" t="s">
        <v>135</v>
      </c>
      <c r="H26" s="23" t="s">
        <v>141</v>
      </c>
      <c r="I26" s="23" t="s">
        <v>146</v>
      </c>
      <c r="J26" s="151">
        <v>66</v>
      </c>
      <c r="K26" s="47" t="s">
        <v>61</v>
      </c>
      <c r="L26" s="47" t="s">
        <v>53</v>
      </c>
      <c r="M26" s="23" t="s">
        <v>44</v>
      </c>
      <c r="N26" s="253" t="s">
        <v>34</v>
      </c>
      <c r="O26" s="43"/>
      <c r="P26" s="490" t="s">
        <v>83</v>
      </c>
      <c r="Q26" s="130" t="s">
        <v>108</v>
      </c>
      <c r="R26" s="47" t="s">
        <v>112</v>
      </c>
      <c r="S26" s="23" t="s">
        <v>120</v>
      </c>
      <c r="T26" s="23" t="s">
        <v>128</v>
      </c>
      <c r="U26" s="23" t="s">
        <v>135</v>
      </c>
      <c r="V26" s="23" t="s">
        <v>141</v>
      </c>
      <c r="W26" s="23" t="s">
        <v>146</v>
      </c>
      <c r="X26" s="151">
        <v>66</v>
      </c>
      <c r="Y26" s="130" t="s">
        <v>61</v>
      </c>
      <c r="Z26" s="47" t="s">
        <v>53</v>
      </c>
      <c r="AA26" s="23" t="s">
        <v>44</v>
      </c>
      <c r="AB26" s="253" t="s">
        <v>34</v>
      </c>
      <c r="AD26" s="383" t="s">
        <v>83</v>
      </c>
      <c r="AE26" s="30" t="s">
        <v>108</v>
      </c>
      <c r="AF26" s="47" t="s">
        <v>112</v>
      </c>
      <c r="AG26" s="23" t="s">
        <v>120</v>
      </c>
      <c r="AH26" s="23" t="s">
        <v>128</v>
      </c>
      <c r="AI26" s="23" t="s">
        <v>135</v>
      </c>
      <c r="AJ26" s="23" t="s">
        <v>141</v>
      </c>
      <c r="AK26" s="47" t="s">
        <v>146</v>
      </c>
      <c r="AL26" s="151">
        <v>66</v>
      </c>
      <c r="AM26" s="130" t="s">
        <v>61</v>
      </c>
      <c r="AN26" s="47" t="s">
        <v>53</v>
      </c>
      <c r="AO26" s="23" t="s">
        <v>44</v>
      </c>
      <c r="AP26" s="253" t="s">
        <v>34</v>
      </c>
    </row>
    <row r="27" spans="1:42">
      <c r="A27" s="43"/>
      <c r="B27" s="376" t="s">
        <v>84</v>
      </c>
      <c r="C27" s="47" t="s">
        <v>104</v>
      </c>
      <c r="D27" s="23" t="s">
        <v>113</v>
      </c>
      <c r="E27" s="23" t="s">
        <v>121</v>
      </c>
      <c r="F27" s="23" t="s">
        <v>129</v>
      </c>
      <c r="G27" s="23" t="s">
        <v>136</v>
      </c>
      <c r="H27" s="23" t="s">
        <v>142</v>
      </c>
      <c r="I27" s="23" t="s">
        <v>147</v>
      </c>
      <c r="J27" s="23" t="s">
        <v>151</v>
      </c>
      <c r="K27" s="151">
        <v>55</v>
      </c>
      <c r="L27" s="47" t="s">
        <v>54</v>
      </c>
      <c r="M27" s="23" t="s">
        <v>45</v>
      </c>
      <c r="N27" s="253" t="s">
        <v>35</v>
      </c>
      <c r="O27" s="43"/>
      <c r="P27" s="489" t="s">
        <v>84</v>
      </c>
      <c r="Q27" s="47" t="s">
        <v>104</v>
      </c>
      <c r="R27" s="23" t="s">
        <v>113</v>
      </c>
      <c r="S27" s="23" t="s">
        <v>121</v>
      </c>
      <c r="T27" s="23" t="s">
        <v>129</v>
      </c>
      <c r="U27" s="23" t="s">
        <v>136</v>
      </c>
      <c r="V27" s="23" t="s">
        <v>142</v>
      </c>
      <c r="W27" s="23" t="s">
        <v>147</v>
      </c>
      <c r="X27" s="23" t="s">
        <v>151</v>
      </c>
      <c r="Y27" s="151">
        <v>55</v>
      </c>
      <c r="Z27" s="47" t="s">
        <v>54</v>
      </c>
      <c r="AA27" s="23" t="s">
        <v>45</v>
      </c>
      <c r="AB27" s="253" t="s">
        <v>35</v>
      </c>
      <c r="AD27" s="383" t="s">
        <v>84</v>
      </c>
      <c r="AE27" s="130" t="s">
        <v>104</v>
      </c>
      <c r="AF27" s="47" t="s">
        <v>113</v>
      </c>
      <c r="AG27" s="23" t="s">
        <v>121</v>
      </c>
      <c r="AH27" s="23" t="s">
        <v>129</v>
      </c>
      <c r="AI27" s="23" t="s">
        <v>136</v>
      </c>
      <c r="AJ27" s="23" t="s">
        <v>142</v>
      </c>
      <c r="AK27" s="23" t="s">
        <v>147</v>
      </c>
      <c r="AL27" s="23" t="s">
        <v>151</v>
      </c>
      <c r="AM27" s="151">
        <v>55</v>
      </c>
      <c r="AN27" s="47" t="s">
        <v>54</v>
      </c>
      <c r="AO27" s="23" t="s">
        <v>45</v>
      </c>
      <c r="AP27" s="253" t="s">
        <v>35</v>
      </c>
    </row>
    <row r="28" spans="1:42">
      <c r="A28" s="43"/>
      <c r="B28" s="384" t="s">
        <v>85</v>
      </c>
      <c r="C28" s="23" t="s">
        <v>105</v>
      </c>
      <c r="D28" s="23" t="s">
        <v>114</v>
      </c>
      <c r="E28" s="23" t="s">
        <v>122</v>
      </c>
      <c r="F28" s="23" t="s">
        <v>130</v>
      </c>
      <c r="G28" s="23" t="s">
        <v>137</v>
      </c>
      <c r="H28" s="23" t="s">
        <v>143</v>
      </c>
      <c r="I28" s="23" t="s">
        <v>148</v>
      </c>
      <c r="J28" s="23" t="s">
        <v>152</v>
      </c>
      <c r="K28" s="23" t="s">
        <v>155</v>
      </c>
      <c r="L28" s="151">
        <v>44</v>
      </c>
      <c r="M28" s="23" t="s">
        <v>46</v>
      </c>
      <c r="N28" s="253" t="s">
        <v>36</v>
      </c>
      <c r="O28" s="43"/>
      <c r="P28" s="387" t="s">
        <v>85</v>
      </c>
      <c r="Q28" s="47" t="s">
        <v>105</v>
      </c>
      <c r="R28" s="23" t="s">
        <v>114</v>
      </c>
      <c r="S28" s="23" t="s">
        <v>122</v>
      </c>
      <c r="T28" s="23" t="s">
        <v>130</v>
      </c>
      <c r="U28" s="23" t="s">
        <v>137</v>
      </c>
      <c r="V28" s="23" t="s">
        <v>143</v>
      </c>
      <c r="W28" s="23" t="s">
        <v>148</v>
      </c>
      <c r="X28" s="23" t="s">
        <v>152</v>
      </c>
      <c r="Y28" s="23" t="s">
        <v>155</v>
      </c>
      <c r="Z28" s="151">
        <v>44</v>
      </c>
      <c r="AA28" s="23" t="s">
        <v>46</v>
      </c>
      <c r="AB28" s="253" t="s">
        <v>36</v>
      </c>
      <c r="AD28" s="389" t="s">
        <v>85</v>
      </c>
      <c r="AE28" s="130" t="s">
        <v>105</v>
      </c>
      <c r="AF28" s="23" t="s">
        <v>114</v>
      </c>
      <c r="AG28" s="23" t="s">
        <v>122</v>
      </c>
      <c r="AH28" s="23" t="s">
        <v>130</v>
      </c>
      <c r="AI28" s="23" t="s">
        <v>137</v>
      </c>
      <c r="AJ28" s="23" t="s">
        <v>143</v>
      </c>
      <c r="AK28" s="23" t="s">
        <v>148</v>
      </c>
      <c r="AL28" s="23" t="s">
        <v>152</v>
      </c>
      <c r="AM28" s="23" t="s">
        <v>155</v>
      </c>
      <c r="AN28" s="151">
        <v>44</v>
      </c>
      <c r="AO28" s="23" t="s">
        <v>46</v>
      </c>
      <c r="AP28" s="253" t="s">
        <v>36</v>
      </c>
    </row>
    <row r="29" spans="1:42">
      <c r="A29" s="43"/>
      <c r="B29" s="385" t="s">
        <v>86</v>
      </c>
      <c r="C29" s="23" t="s">
        <v>106</v>
      </c>
      <c r="D29" s="23" t="s">
        <v>115</v>
      </c>
      <c r="E29" s="23" t="s">
        <v>123</v>
      </c>
      <c r="F29" s="23" t="s">
        <v>131</v>
      </c>
      <c r="G29" s="23" t="s">
        <v>138</v>
      </c>
      <c r="H29" s="23" t="s">
        <v>144</v>
      </c>
      <c r="I29" s="23" t="s">
        <v>149</v>
      </c>
      <c r="J29" s="23" t="s">
        <v>153</v>
      </c>
      <c r="K29" s="23" t="s">
        <v>156</v>
      </c>
      <c r="L29" s="23" t="s">
        <v>158</v>
      </c>
      <c r="M29" s="151">
        <v>33</v>
      </c>
      <c r="N29" s="253" t="s">
        <v>37</v>
      </c>
      <c r="O29" s="43"/>
      <c r="P29" s="387" t="s">
        <v>86</v>
      </c>
      <c r="Q29" s="47" t="s">
        <v>106</v>
      </c>
      <c r="R29" s="23" t="s">
        <v>115</v>
      </c>
      <c r="S29" s="23" t="s">
        <v>123</v>
      </c>
      <c r="T29" s="23" t="s">
        <v>131</v>
      </c>
      <c r="U29" s="23" t="s">
        <v>138</v>
      </c>
      <c r="V29" s="23" t="s">
        <v>144</v>
      </c>
      <c r="W29" s="23" t="s">
        <v>149</v>
      </c>
      <c r="X29" s="23" t="s">
        <v>153</v>
      </c>
      <c r="Y29" s="23" t="s">
        <v>156</v>
      </c>
      <c r="Z29" s="23" t="s">
        <v>158</v>
      </c>
      <c r="AA29" s="151">
        <v>33</v>
      </c>
      <c r="AB29" s="253" t="s">
        <v>37</v>
      </c>
      <c r="AD29" s="491" t="s">
        <v>86</v>
      </c>
      <c r="AE29" s="47" t="s">
        <v>106</v>
      </c>
      <c r="AF29" s="23" t="s">
        <v>115</v>
      </c>
      <c r="AG29" s="23" t="s">
        <v>123</v>
      </c>
      <c r="AH29" s="23" t="s">
        <v>131</v>
      </c>
      <c r="AI29" s="23" t="s">
        <v>138</v>
      </c>
      <c r="AJ29" s="23" t="s">
        <v>144</v>
      </c>
      <c r="AK29" s="23" t="s">
        <v>149</v>
      </c>
      <c r="AL29" s="23" t="s">
        <v>153</v>
      </c>
      <c r="AM29" s="23" t="s">
        <v>156</v>
      </c>
      <c r="AN29" s="23" t="s">
        <v>158</v>
      </c>
      <c r="AO29" s="151">
        <v>33</v>
      </c>
      <c r="AP29" s="253" t="s">
        <v>37</v>
      </c>
    </row>
    <row r="30" spans="1:42" ht="15.75" thickBot="1">
      <c r="A30" s="43"/>
      <c r="B30" s="30" t="s">
        <v>87</v>
      </c>
      <c r="C30" s="260" t="s">
        <v>107</v>
      </c>
      <c r="D30" s="260" t="s">
        <v>116</v>
      </c>
      <c r="E30" s="260" t="s">
        <v>124</v>
      </c>
      <c r="F30" s="260" t="s">
        <v>132</v>
      </c>
      <c r="G30" s="260" t="s">
        <v>139</v>
      </c>
      <c r="H30" s="260" t="s">
        <v>145</v>
      </c>
      <c r="I30" s="260" t="s">
        <v>150</v>
      </c>
      <c r="J30" s="260" t="s">
        <v>154</v>
      </c>
      <c r="K30" s="260" t="s">
        <v>157</v>
      </c>
      <c r="L30" s="260" t="s">
        <v>160</v>
      </c>
      <c r="M30" s="260" t="s">
        <v>159</v>
      </c>
      <c r="N30" s="382">
        <v>22</v>
      </c>
      <c r="O30" s="43"/>
      <c r="P30" s="388" t="s">
        <v>87</v>
      </c>
      <c r="Q30" s="260" t="s">
        <v>107</v>
      </c>
      <c r="R30" s="260" t="s">
        <v>116</v>
      </c>
      <c r="S30" s="260" t="s">
        <v>124</v>
      </c>
      <c r="T30" s="260" t="s">
        <v>132</v>
      </c>
      <c r="U30" s="260" t="s">
        <v>139</v>
      </c>
      <c r="V30" s="260" t="s">
        <v>145</v>
      </c>
      <c r="W30" s="260" t="s">
        <v>150</v>
      </c>
      <c r="X30" s="260" t="s">
        <v>154</v>
      </c>
      <c r="Y30" s="260" t="s">
        <v>157</v>
      </c>
      <c r="Z30" s="260" t="s">
        <v>160</v>
      </c>
      <c r="AA30" s="260" t="s">
        <v>159</v>
      </c>
      <c r="AB30" s="382">
        <v>22</v>
      </c>
      <c r="AD30" s="390" t="s">
        <v>87</v>
      </c>
      <c r="AE30" s="392" t="s">
        <v>107</v>
      </c>
      <c r="AF30" s="260" t="s">
        <v>116</v>
      </c>
      <c r="AG30" s="260" t="s">
        <v>124</v>
      </c>
      <c r="AH30" s="260" t="s">
        <v>132</v>
      </c>
      <c r="AI30" s="260" t="s">
        <v>139</v>
      </c>
      <c r="AJ30" s="260" t="s">
        <v>145</v>
      </c>
      <c r="AK30" s="260" t="s">
        <v>150</v>
      </c>
      <c r="AL30" s="260" t="s">
        <v>154</v>
      </c>
      <c r="AM30" s="260" t="s">
        <v>157</v>
      </c>
      <c r="AN30" s="260" t="s">
        <v>160</v>
      </c>
      <c r="AO30" s="260" t="s">
        <v>159</v>
      </c>
      <c r="AP30" s="382">
        <v>22</v>
      </c>
    </row>
    <row r="31" spans="1:42" ht="15.75" thickBot="1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</row>
    <row r="32" spans="1:42">
      <c r="A32" s="43"/>
      <c r="B32" s="688" t="s">
        <v>203</v>
      </c>
      <c r="C32" s="689"/>
      <c r="D32" s="689"/>
      <c r="E32" s="689"/>
      <c r="F32" s="689"/>
      <c r="G32" s="689"/>
      <c r="H32" s="689"/>
      <c r="I32" s="689"/>
      <c r="J32" s="689"/>
      <c r="K32" s="689"/>
      <c r="L32" s="689"/>
      <c r="M32" s="689"/>
      <c r="N32" s="690"/>
      <c r="O32" s="43"/>
      <c r="P32" s="688" t="s">
        <v>204</v>
      </c>
      <c r="Q32" s="689"/>
      <c r="R32" s="689"/>
      <c r="S32" s="689"/>
      <c r="T32" s="689"/>
      <c r="U32" s="689"/>
      <c r="V32" s="689"/>
      <c r="W32" s="689"/>
      <c r="X32" s="689"/>
      <c r="Y32" s="689"/>
      <c r="Z32" s="689"/>
      <c r="AA32" s="689"/>
      <c r="AB32" s="690"/>
      <c r="AD32" s="688" t="s">
        <v>292</v>
      </c>
      <c r="AE32" s="689"/>
      <c r="AF32" s="689"/>
      <c r="AG32" s="689"/>
      <c r="AH32" s="689"/>
      <c r="AI32" s="689"/>
      <c r="AJ32" s="689"/>
      <c r="AK32" s="689"/>
      <c r="AL32" s="689"/>
      <c r="AM32" s="689"/>
      <c r="AN32" s="689"/>
      <c r="AO32" s="689"/>
      <c r="AP32" s="690"/>
    </row>
    <row r="33" spans="1:42">
      <c r="A33" s="43"/>
      <c r="B33" s="346" t="s">
        <v>0</v>
      </c>
      <c r="C33" s="349" t="s">
        <v>5</v>
      </c>
      <c r="D33" s="350" t="s">
        <v>6</v>
      </c>
      <c r="E33" s="350" t="s">
        <v>7</v>
      </c>
      <c r="F33" s="350" t="s">
        <v>8</v>
      </c>
      <c r="G33" s="351" t="s">
        <v>9</v>
      </c>
      <c r="H33" s="347" t="s">
        <v>10</v>
      </c>
      <c r="I33" s="347" t="s">
        <v>11</v>
      </c>
      <c r="J33" s="347" t="s">
        <v>12</v>
      </c>
      <c r="K33" s="348" t="s">
        <v>13</v>
      </c>
      <c r="L33" s="347" t="s">
        <v>14</v>
      </c>
      <c r="M33" s="347" t="s">
        <v>15</v>
      </c>
      <c r="N33" s="381" t="s">
        <v>16</v>
      </c>
      <c r="O33" s="43"/>
      <c r="P33" s="346" t="s">
        <v>0</v>
      </c>
      <c r="Q33" s="349" t="s">
        <v>5</v>
      </c>
      <c r="R33" s="350" t="s">
        <v>6</v>
      </c>
      <c r="S33" s="350" t="s">
        <v>7</v>
      </c>
      <c r="T33" s="350" t="s">
        <v>8</v>
      </c>
      <c r="U33" s="351" t="s">
        <v>9</v>
      </c>
      <c r="V33" s="347" t="s">
        <v>10</v>
      </c>
      <c r="W33" s="347" t="s">
        <v>11</v>
      </c>
      <c r="X33" s="347" t="s">
        <v>12</v>
      </c>
      <c r="Y33" s="348" t="s">
        <v>13</v>
      </c>
      <c r="Z33" s="347" t="s">
        <v>14</v>
      </c>
      <c r="AA33" s="347" t="s">
        <v>15</v>
      </c>
      <c r="AB33" s="381" t="s">
        <v>16</v>
      </c>
      <c r="AD33" s="679" t="s">
        <v>301</v>
      </c>
      <c r="AE33" s="680"/>
      <c r="AF33" s="680"/>
      <c r="AG33" s="680"/>
      <c r="AH33" s="680"/>
      <c r="AI33" s="680"/>
      <c r="AJ33" s="680"/>
      <c r="AK33" s="680"/>
      <c r="AL33" s="680"/>
      <c r="AM33" s="680"/>
      <c r="AN33" s="680"/>
      <c r="AO33" s="680"/>
      <c r="AP33" s="681"/>
    </row>
    <row r="34" spans="1:42">
      <c r="A34" s="43"/>
      <c r="B34" s="353" t="s">
        <v>76</v>
      </c>
      <c r="C34" s="148" t="s">
        <v>1</v>
      </c>
      <c r="D34" s="151" t="s">
        <v>95</v>
      </c>
      <c r="E34" s="151" t="s">
        <v>94</v>
      </c>
      <c r="F34" s="151" t="s">
        <v>19</v>
      </c>
      <c r="G34" s="352" t="s">
        <v>20</v>
      </c>
      <c r="H34" s="352" t="s">
        <v>21</v>
      </c>
      <c r="I34" s="352" t="s">
        <v>22</v>
      </c>
      <c r="J34" s="131" t="s">
        <v>23</v>
      </c>
      <c r="K34" s="131" t="s">
        <v>24</v>
      </c>
      <c r="L34" s="131" t="s">
        <v>25</v>
      </c>
      <c r="M34" s="371" t="s">
        <v>26</v>
      </c>
      <c r="N34" s="394" t="s">
        <v>27</v>
      </c>
      <c r="O34" s="43"/>
      <c r="P34" s="353" t="s">
        <v>76</v>
      </c>
      <c r="Q34" s="148" t="s">
        <v>1</v>
      </c>
      <c r="R34" s="151" t="s">
        <v>95</v>
      </c>
      <c r="S34" s="151" t="s">
        <v>94</v>
      </c>
      <c r="T34" s="151" t="s">
        <v>19</v>
      </c>
      <c r="U34" s="352" t="s">
        <v>20</v>
      </c>
      <c r="V34" s="352" t="s">
        <v>21</v>
      </c>
      <c r="W34" s="352" t="s">
        <v>22</v>
      </c>
      <c r="X34" s="131" t="s">
        <v>23</v>
      </c>
      <c r="Y34" s="131" t="s">
        <v>24</v>
      </c>
      <c r="Z34" s="131" t="s">
        <v>25</v>
      </c>
      <c r="AA34" s="131" t="s">
        <v>26</v>
      </c>
      <c r="AB34" s="397" t="s">
        <v>27</v>
      </c>
      <c r="AD34" s="682"/>
      <c r="AE34" s="683"/>
      <c r="AF34" s="683"/>
      <c r="AG34" s="683"/>
      <c r="AH34" s="683"/>
      <c r="AI34" s="683"/>
      <c r="AJ34" s="683"/>
      <c r="AK34" s="683"/>
      <c r="AL34" s="683"/>
      <c r="AM34" s="683"/>
      <c r="AN34" s="683"/>
      <c r="AO34" s="683"/>
      <c r="AP34" s="684"/>
    </row>
    <row r="35" spans="1:42">
      <c r="A35" s="43"/>
      <c r="B35" s="354" t="s">
        <v>77</v>
      </c>
      <c r="C35" s="150" t="s">
        <v>17</v>
      </c>
      <c r="D35" s="148" t="s">
        <v>2</v>
      </c>
      <c r="E35" s="151" t="s">
        <v>97</v>
      </c>
      <c r="F35" s="151" t="s">
        <v>92</v>
      </c>
      <c r="G35" s="352" t="s">
        <v>96</v>
      </c>
      <c r="H35" s="352" t="s">
        <v>73</v>
      </c>
      <c r="I35" s="131" t="s">
        <v>68</v>
      </c>
      <c r="J35" s="131" t="s">
        <v>62</v>
      </c>
      <c r="K35" s="144" t="s">
        <v>55</v>
      </c>
      <c r="L35" s="365" t="s">
        <v>47</v>
      </c>
      <c r="M35" s="365" t="s">
        <v>38</v>
      </c>
      <c r="N35" s="395" t="s">
        <v>30</v>
      </c>
      <c r="O35" s="43"/>
      <c r="P35" s="354" t="s">
        <v>77</v>
      </c>
      <c r="Q35" s="150" t="s">
        <v>17</v>
      </c>
      <c r="R35" s="148" t="s">
        <v>2</v>
      </c>
      <c r="S35" s="151" t="s">
        <v>97</v>
      </c>
      <c r="T35" s="151" t="s">
        <v>92</v>
      </c>
      <c r="U35" s="352" t="s">
        <v>96</v>
      </c>
      <c r="V35" s="352" t="s">
        <v>73</v>
      </c>
      <c r="W35" s="131" t="s">
        <v>68</v>
      </c>
      <c r="X35" s="131" t="s">
        <v>62</v>
      </c>
      <c r="Y35" s="131" t="s">
        <v>55</v>
      </c>
      <c r="Z35" s="131" t="s">
        <v>47</v>
      </c>
      <c r="AA35" s="371" t="s">
        <v>38</v>
      </c>
      <c r="AB35" s="399" t="s">
        <v>30</v>
      </c>
      <c r="AD35" s="682"/>
      <c r="AE35" s="683"/>
      <c r="AF35" s="683"/>
      <c r="AG35" s="683"/>
      <c r="AH35" s="683"/>
      <c r="AI35" s="683"/>
      <c r="AJ35" s="683"/>
      <c r="AK35" s="683"/>
      <c r="AL35" s="683"/>
      <c r="AM35" s="683"/>
      <c r="AN35" s="683"/>
      <c r="AO35" s="683"/>
      <c r="AP35" s="684"/>
    </row>
    <row r="36" spans="1:42">
      <c r="A36" s="43"/>
      <c r="B36" s="353" t="s">
        <v>78</v>
      </c>
      <c r="C36" s="131" t="s">
        <v>18</v>
      </c>
      <c r="D36" s="131" t="s">
        <v>93</v>
      </c>
      <c r="E36" s="148" t="s">
        <v>3</v>
      </c>
      <c r="F36" s="151" t="s">
        <v>91</v>
      </c>
      <c r="G36" s="352" t="s">
        <v>90</v>
      </c>
      <c r="H36" s="352" t="s">
        <v>74</v>
      </c>
      <c r="I36" s="131" t="s">
        <v>69</v>
      </c>
      <c r="J36" s="30" t="s">
        <v>63</v>
      </c>
      <c r="K36" s="30" t="s">
        <v>56</v>
      </c>
      <c r="L36" s="130" t="s">
        <v>48</v>
      </c>
      <c r="M36" s="130" t="s">
        <v>39</v>
      </c>
      <c r="N36" s="366" t="s">
        <v>28</v>
      </c>
      <c r="O36" s="43"/>
      <c r="P36" s="353" t="s">
        <v>78</v>
      </c>
      <c r="Q36" s="131" t="s">
        <v>18</v>
      </c>
      <c r="R36" s="131" t="s">
        <v>93</v>
      </c>
      <c r="S36" s="148" t="s">
        <v>3</v>
      </c>
      <c r="T36" s="151" t="s">
        <v>91</v>
      </c>
      <c r="U36" s="352" t="s">
        <v>90</v>
      </c>
      <c r="V36" s="352" t="s">
        <v>74</v>
      </c>
      <c r="W36" s="131" t="s">
        <v>69</v>
      </c>
      <c r="X36" s="131" t="s">
        <v>63</v>
      </c>
      <c r="Y36" s="144" t="s">
        <v>56</v>
      </c>
      <c r="Z36" s="365" t="s">
        <v>48</v>
      </c>
      <c r="AA36" s="30" t="s">
        <v>39</v>
      </c>
      <c r="AB36" s="366" t="s">
        <v>28</v>
      </c>
      <c r="AD36" s="682"/>
      <c r="AE36" s="683"/>
      <c r="AF36" s="683"/>
      <c r="AG36" s="683"/>
      <c r="AH36" s="683"/>
      <c r="AI36" s="683"/>
      <c r="AJ36" s="683"/>
      <c r="AK36" s="683"/>
      <c r="AL36" s="683"/>
      <c r="AM36" s="683"/>
      <c r="AN36" s="683"/>
      <c r="AO36" s="683"/>
      <c r="AP36" s="684"/>
    </row>
    <row r="37" spans="1:42">
      <c r="A37" s="43"/>
      <c r="B37" s="353" t="s">
        <v>79</v>
      </c>
      <c r="C37" s="131" t="s">
        <v>98</v>
      </c>
      <c r="D37" s="131" t="s">
        <v>99</v>
      </c>
      <c r="E37" s="131" t="s">
        <v>100</v>
      </c>
      <c r="F37" s="159" t="s">
        <v>4</v>
      </c>
      <c r="G37" s="352" t="s">
        <v>89</v>
      </c>
      <c r="H37" s="352" t="s">
        <v>75</v>
      </c>
      <c r="I37" s="131" t="s">
        <v>70</v>
      </c>
      <c r="J37" s="30" t="s">
        <v>64</v>
      </c>
      <c r="K37" s="47" t="s">
        <v>57</v>
      </c>
      <c r="L37" s="47" t="s">
        <v>49</v>
      </c>
      <c r="M37" s="47" t="s">
        <v>40</v>
      </c>
      <c r="N37" s="366" t="s">
        <v>29</v>
      </c>
      <c r="O37" s="43"/>
      <c r="P37" s="353" t="s">
        <v>79</v>
      </c>
      <c r="Q37" s="131" t="s">
        <v>98</v>
      </c>
      <c r="R37" s="131" t="s">
        <v>99</v>
      </c>
      <c r="S37" s="131" t="s">
        <v>100</v>
      </c>
      <c r="T37" s="159" t="s">
        <v>4</v>
      </c>
      <c r="U37" s="352" t="s">
        <v>89</v>
      </c>
      <c r="V37" s="352" t="s">
        <v>75</v>
      </c>
      <c r="W37" s="131" t="s">
        <v>70</v>
      </c>
      <c r="X37" s="131" t="s">
        <v>64</v>
      </c>
      <c r="Y37" s="30" t="s">
        <v>57</v>
      </c>
      <c r="Z37" s="130" t="s">
        <v>49</v>
      </c>
      <c r="AA37" s="130" t="s">
        <v>40</v>
      </c>
      <c r="AB37" s="366" t="s">
        <v>29</v>
      </c>
      <c r="AD37" s="682"/>
      <c r="AE37" s="683"/>
      <c r="AF37" s="683"/>
      <c r="AG37" s="683"/>
      <c r="AH37" s="683"/>
      <c r="AI37" s="683"/>
      <c r="AJ37" s="683"/>
      <c r="AK37" s="683"/>
      <c r="AL37" s="683"/>
      <c r="AM37" s="683"/>
      <c r="AN37" s="683"/>
      <c r="AO37" s="683"/>
      <c r="AP37" s="684"/>
    </row>
    <row r="38" spans="1:42">
      <c r="A38" s="43"/>
      <c r="B38" s="353" t="s">
        <v>80</v>
      </c>
      <c r="C38" s="371" t="s">
        <v>101</v>
      </c>
      <c r="D38" s="144" t="s">
        <v>109</v>
      </c>
      <c r="E38" s="164" t="s">
        <v>117</v>
      </c>
      <c r="F38" s="144" t="s">
        <v>125</v>
      </c>
      <c r="G38" s="159">
        <v>99</v>
      </c>
      <c r="H38" s="352" t="s">
        <v>88</v>
      </c>
      <c r="I38" s="131" t="s">
        <v>71</v>
      </c>
      <c r="J38" s="164" t="s">
        <v>65</v>
      </c>
      <c r="K38" s="47" t="s">
        <v>58</v>
      </c>
      <c r="L38" s="47" t="s">
        <v>50</v>
      </c>
      <c r="M38" s="23" t="s">
        <v>41</v>
      </c>
      <c r="N38" s="253" t="s">
        <v>31</v>
      </c>
      <c r="O38" s="43"/>
      <c r="P38" s="353" t="s">
        <v>80</v>
      </c>
      <c r="Q38" s="131" t="s">
        <v>101</v>
      </c>
      <c r="R38" s="131" t="s">
        <v>109</v>
      </c>
      <c r="S38" s="131" t="s">
        <v>117</v>
      </c>
      <c r="T38" s="131" t="s">
        <v>125</v>
      </c>
      <c r="U38" s="159">
        <v>99</v>
      </c>
      <c r="V38" s="352" t="s">
        <v>88</v>
      </c>
      <c r="W38" s="131" t="s">
        <v>71</v>
      </c>
      <c r="X38" s="131" t="s">
        <v>65</v>
      </c>
      <c r="Y38" s="130" t="s">
        <v>58</v>
      </c>
      <c r="Z38" s="47" t="s">
        <v>50</v>
      </c>
      <c r="AA38" s="47" t="s">
        <v>41</v>
      </c>
      <c r="AB38" s="253" t="s">
        <v>31</v>
      </c>
      <c r="AD38" s="682"/>
      <c r="AE38" s="683"/>
      <c r="AF38" s="683"/>
      <c r="AG38" s="683"/>
      <c r="AH38" s="683"/>
      <c r="AI38" s="683"/>
      <c r="AJ38" s="683"/>
      <c r="AK38" s="683"/>
      <c r="AL38" s="683"/>
      <c r="AM38" s="683"/>
      <c r="AN38" s="683"/>
      <c r="AO38" s="683"/>
      <c r="AP38" s="684"/>
    </row>
    <row r="39" spans="1:42">
      <c r="A39" s="43"/>
      <c r="B39" s="383" t="s">
        <v>81</v>
      </c>
      <c r="C39" s="144" t="s">
        <v>102</v>
      </c>
      <c r="D39" s="365" t="s">
        <v>110</v>
      </c>
      <c r="E39" s="30" t="s">
        <v>118</v>
      </c>
      <c r="F39" s="30" t="s">
        <v>126</v>
      </c>
      <c r="G39" s="365" t="s">
        <v>133</v>
      </c>
      <c r="H39" s="151">
        <v>88</v>
      </c>
      <c r="I39" s="131" t="s">
        <v>72</v>
      </c>
      <c r="J39" s="131" t="s">
        <v>66</v>
      </c>
      <c r="K39" s="47" t="s">
        <v>59</v>
      </c>
      <c r="L39" s="47" t="s">
        <v>51</v>
      </c>
      <c r="M39" s="23" t="s">
        <v>42</v>
      </c>
      <c r="N39" s="253" t="s">
        <v>32</v>
      </c>
      <c r="O39" s="43"/>
      <c r="P39" s="383" t="s">
        <v>81</v>
      </c>
      <c r="Q39" s="131" t="s">
        <v>102</v>
      </c>
      <c r="R39" s="371" t="s">
        <v>110</v>
      </c>
      <c r="S39" s="144" t="s">
        <v>118</v>
      </c>
      <c r="T39" s="144" t="s">
        <v>126</v>
      </c>
      <c r="U39" s="144" t="s">
        <v>133</v>
      </c>
      <c r="V39" s="151">
        <v>88</v>
      </c>
      <c r="W39" s="131" t="s">
        <v>72</v>
      </c>
      <c r="X39" s="131" t="s">
        <v>66</v>
      </c>
      <c r="Y39" s="131" t="s">
        <v>59</v>
      </c>
      <c r="Z39" s="47" t="s">
        <v>51</v>
      </c>
      <c r="AA39" s="23" t="s">
        <v>42</v>
      </c>
      <c r="AB39" s="253" t="s">
        <v>32</v>
      </c>
      <c r="AD39" s="682"/>
      <c r="AE39" s="683"/>
      <c r="AF39" s="683"/>
      <c r="AG39" s="683"/>
      <c r="AH39" s="683"/>
      <c r="AI39" s="683"/>
      <c r="AJ39" s="683"/>
      <c r="AK39" s="683"/>
      <c r="AL39" s="683"/>
      <c r="AM39" s="683"/>
      <c r="AN39" s="683"/>
      <c r="AO39" s="683"/>
      <c r="AP39" s="684"/>
    </row>
    <row r="40" spans="1:42">
      <c r="B40" s="383" t="s">
        <v>82</v>
      </c>
      <c r="C40" s="144" t="s">
        <v>103</v>
      </c>
      <c r="D40" s="30" t="s">
        <v>111</v>
      </c>
      <c r="E40" s="130" t="s">
        <v>119</v>
      </c>
      <c r="F40" s="47" t="s">
        <v>127</v>
      </c>
      <c r="G40" s="47" t="s">
        <v>134</v>
      </c>
      <c r="H40" s="47" t="s">
        <v>140</v>
      </c>
      <c r="I40" s="151">
        <v>77</v>
      </c>
      <c r="J40" s="131" t="s">
        <v>67</v>
      </c>
      <c r="K40" s="130" t="s">
        <v>60</v>
      </c>
      <c r="L40" s="47" t="s">
        <v>52</v>
      </c>
      <c r="M40" s="23" t="s">
        <v>43</v>
      </c>
      <c r="N40" s="253" t="s">
        <v>33</v>
      </c>
      <c r="P40" s="383" t="s">
        <v>82</v>
      </c>
      <c r="Q40" s="131" t="s">
        <v>103</v>
      </c>
      <c r="R40" s="164" t="s">
        <v>111</v>
      </c>
      <c r="S40" s="30" t="s">
        <v>119</v>
      </c>
      <c r="T40" s="47" t="s">
        <v>127</v>
      </c>
      <c r="U40" s="47" t="s">
        <v>134</v>
      </c>
      <c r="V40" s="47" t="s">
        <v>140</v>
      </c>
      <c r="W40" s="151">
        <v>77</v>
      </c>
      <c r="X40" s="131" t="s">
        <v>67</v>
      </c>
      <c r="Y40" s="131" t="s">
        <v>60</v>
      </c>
      <c r="Z40" s="47" t="s">
        <v>52</v>
      </c>
      <c r="AA40" s="23" t="s">
        <v>43</v>
      </c>
      <c r="AB40" s="253" t="s">
        <v>33</v>
      </c>
      <c r="AD40" s="682"/>
      <c r="AE40" s="683"/>
      <c r="AF40" s="683"/>
      <c r="AG40" s="683"/>
      <c r="AH40" s="683"/>
      <c r="AI40" s="683"/>
      <c r="AJ40" s="683"/>
      <c r="AK40" s="683"/>
      <c r="AL40" s="683"/>
      <c r="AM40" s="683"/>
      <c r="AN40" s="683"/>
      <c r="AO40" s="683"/>
      <c r="AP40" s="684"/>
    </row>
    <row r="41" spans="1:42">
      <c r="B41" s="383" t="s">
        <v>83</v>
      </c>
      <c r="C41" s="164" t="s">
        <v>108</v>
      </c>
      <c r="D41" s="130" t="s">
        <v>112</v>
      </c>
      <c r="E41" s="47" t="s">
        <v>120</v>
      </c>
      <c r="F41" s="47" t="s">
        <v>128</v>
      </c>
      <c r="G41" s="23" t="s">
        <v>135</v>
      </c>
      <c r="H41" s="47" t="s">
        <v>141</v>
      </c>
      <c r="I41" s="47" t="s">
        <v>146</v>
      </c>
      <c r="J41" s="151">
        <v>66</v>
      </c>
      <c r="K41" s="371" t="s">
        <v>61</v>
      </c>
      <c r="L41" s="47" t="s">
        <v>53</v>
      </c>
      <c r="M41" s="23" t="s">
        <v>44</v>
      </c>
      <c r="N41" s="253" t="s">
        <v>34</v>
      </c>
      <c r="P41" s="383" t="s">
        <v>83</v>
      </c>
      <c r="Q41" s="131" t="s">
        <v>108</v>
      </c>
      <c r="R41" s="365" t="s">
        <v>112</v>
      </c>
      <c r="S41" s="130" t="s">
        <v>120</v>
      </c>
      <c r="T41" s="47" t="s">
        <v>128</v>
      </c>
      <c r="U41" s="47" t="s">
        <v>135</v>
      </c>
      <c r="V41" s="47" t="s">
        <v>141</v>
      </c>
      <c r="W41" s="47" t="s">
        <v>146</v>
      </c>
      <c r="X41" s="151">
        <v>66</v>
      </c>
      <c r="Y41" s="131" t="s">
        <v>61</v>
      </c>
      <c r="Z41" s="47" t="s">
        <v>53</v>
      </c>
      <c r="AA41" s="23" t="s">
        <v>44</v>
      </c>
      <c r="AB41" s="253" t="s">
        <v>34</v>
      </c>
      <c r="AD41" s="682"/>
      <c r="AE41" s="683"/>
      <c r="AF41" s="683"/>
      <c r="AG41" s="683"/>
      <c r="AH41" s="683"/>
      <c r="AI41" s="683"/>
      <c r="AJ41" s="683"/>
      <c r="AK41" s="683"/>
      <c r="AL41" s="683"/>
      <c r="AM41" s="683"/>
      <c r="AN41" s="683"/>
      <c r="AO41" s="683"/>
      <c r="AP41" s="684"/>
    </row>
    <row r="42" spans="1:42">
      <c r="B42" s="383" t="s">
        <v>84</v>
      </c>
      <c r="C42" s="365" t="s">
        <v>104</v>
      </c>
      <c r="D42" s="130" t="s">
        <v>113</v>
      </c>
      <c r="E42" s="47" t="s">
        <v>121</v>
      </c>
      <c r="F42" s="23" t="s">
        <v>129</v>
      </c>
      <c r="G42" s="23" t="s">
        <v>136</v>
      </c>
      <c r="H42" s="23" t="s">
        <v>142</v>
      </c>
      <c r="I42" s="23" t="s">
        <v>147</v>
      </c>
      <c r="J42" s="23" t="s">
        <v>151</v>
      </c>
      <c r="K42" s="151">
        <v>55</v>
      </c>
      <c r="L42" s="47" t="s">
        <v>54</v>
      </c>
      <c r="M42" s="23" t="s">
        <v>45</v>
      </c>
      <c r="N42" s="253" t="s">
        <v>35</v>
      </c>
      <c r="P42" s="383" t="s">
        <v>84</v>
      </c>
      <c r="Q42" s="131" t="s">
        <v>104</v>
      </c>
      <c r="R42" s="365" t="s">
        <v>113</v>
      </c>
      <c r="S42" s="130" t="s">
        <v>121</v>
      </c>
      <c r="T42" s="23" t="s">
        <v>129</v>
      </c>
      <c r="U42" s="23" t="s">
        <v>136</v>
      </c>
      <c r="V42" s="23" t="s">
        <v>142</v>
      </c>
      <c r="W42" s="23" t="s">
        <v>147</v>
      </c>
      <c r="X42" s="23" t="s">
        <v>151</v>
      </c>
      <c r="Y42" s="151">
        <v>55</v>
      </c>
      <c r="Z42" s="131" t="s">
        <v>54</v>
      </c>
      <c r="AA42" s="23" t="s">
        <v>45</v>
      </c>
      <c r="AB42" s="253" t="s">
        <v>35</v>
      </c>
      <c r="AD42" s="682"/>
      <c r="AE42" s="683"/>
      <c r="AF42" s="683"/>
      <c r="AG42" s="683"/>
      <c r="AH42" s="683"/>
      <c r="AI42" s="683"/>
      <c r="AJ42" s="683"/>
      <c r="AK42" s="683"/>
      <c r="AL42" s="683"/>
      <c r="AM42" s="683"/>
      <c r="AN42" s="683"/>
      <c r="AO42" s="683"/>
      <c r="AP42" s="684"/>
    </row>
    <row r="43" spans="1:42">
      <c r="B43" s="389" t="s">
        <v>85</v>
      </c>
      <c r="C43" s="30" t="s">
        <v>105</v>
      </c>
      <c r="D43" s="47" t="s">
        <v>114</v>
      </c>
      <c r="E43" s="23" t="s">
        <v>122</v>
      </c>
      <c r="F43" s="23" t="s">
        <v>130</v>
      </c>
      <c r="G43" s="23" t="s">
        <v>137</v>
      </c>
      <c r="H43" s="23" t="s">
        <v>143</v>
      </c>
      <c r="I43" s="23" t="s">
        <v>148</v>
      </c>
      <c r="J43" s="23" t="s">
        <v>152</v>
      </c>
      <c r="K43" s="23" t="s">
        <v>155</v>
      </c>
      <c r="L43" s="151">
        <v>44</v>
      </c>
      <c r="M43" s="23" t="s">
        <v>46</v>
      </c>
      <c r="N43" s="253" t="s">
        <v>36</v>
      </c>
      <c r="P43" s="389" t="s">
        <v>85</v>
      </c>
      <c r="Q43" s="371" t="s">
        <v>105</v>
      </c>
      <c r="R43" s="30" t="s">
        <v>114</v>
      </c>
      <c r="S43" s="47" t="s">
        <v>122</v>
      </c>
      <c r="T43" s="23" t="s">
        <v>130</v>
      </c>
      <c r="U43" s="23" t="s">
        <v>137</v>
      </c>
      <c r="V43" s="23" t="s">
        <v>143</v>
      </c>
      <c r="W43" s="23" t="s">
        <v>148</v>
      </c>
      <c r="X43" s="23" t="s">
        <v>152</v>
      </c>
      <c r="Y43" s="23" t="s">
        <v>155</v>
      </c>
      <c r="Z43" s="151">
        <v>44</v>
      </c>
      <c r="AA43" s="23" t="s">
        <v>46</v>
      </c>
      <c r="AB43" s="253" t="s">
        <v>36</v>
      </c>
      <c r="AD43" s="682"/>
      <c r="AE43" s="683"/>
      <c r="AF43" s="683"/>
      <c r="AG43" s="683"/>
      <c r="AH43" s="683"/>
      <c r="AI43" s="683"/>
      <c r="AJ43" s="683"/>
      <c r="AK43" s="683"/>
      <c r="AL43" s="683"/>
      <c r="AM43" s="683"/>
      <c r="AN43" s="683"/>
      <c r="AO43" s="683"/>
      <c r="AP43" s="684"/>
    </row>
    <row r="44" spans="1:42">
      <c r="B44" s="389" t="s">
        <v>86</v>
      </c>
      <c r="C44" s="130" t="s">
        <v>106</v>
      </c>
      <c r="D44" s="47" t="s">
        <v>115</v>
      </c>
      <c r="E44" s="23" t="s">
        <v>123</v>
      </c>
      <c r="F44" s="23" t="s">
        <v>131</v>
      </c>
      <c r="G44" s="23" t="s">
        <v>138</v>
      </c>
      <c r="H44" s="23" t="s">
        <v>144</v>
      </c>
      <c r="I44" s="23" t="s">
        <v>149</v>
      </c>
      <c r="J44" s="23" t="s">
        <v>153</v>
      </c>
      <c r="K44" s="23" t="s">
        <v>156</v>
      </c>
      <c r="L44" s="23" t="s">
        <v>158</v>
      </c>
      <c r="M44" s="151">
        <v>33</v>
      </c>
      <c r="N44" s="253" t="s">
        <v>37</v>
      </c>
      <c r="P44" s="389" t="s">
        <v>86</v>
      </c>
      <c r="Q44" s="144" t="s">
        <v>106</v>
      </c>
      <c r="R44" s="130" t="s">
        <v>115</v>
      </c>
      <c r="S44" s="47" t="s">
        <v>123</v>
      </c>
      <c r="T44" s="23" t="s">
        <v>131</v>
      </c>
      <c r="U44" s="23" t="s">
        <v>138</v>
      </c>
      <c r="V44" s="23" t="s">
        <v>144</v>
      </c>
      <c r="W44" s="23" t="s">
        <v>149</v>
      </c>
      <c r="X44" s="23" t="s">
        <v>153</v>
      </c>
      <c r="Y44" s="23" t="s">
        <v>156</v>
      </c>
      <c r="Z44" s="23" t="s">
        <v>158</v>
      </c>
      <c r="AA44" s="151">
        <v>33</v>
      </c>
      <c r="AB44" s="253" t="s">
        <v>37</v>
      </c>
      <c r="AD44" s="682"/>
      <c r="AE44" s="683"/>
      <c r="AF44" s="683"/>
      <c r="AG44" s="683"/>
      <c r="AH44" s="683"/>
      <c r="AI44" s="683"/>
      <c r="AJ44" s="683"/>
      <c r="AK44" s="683"/>
      <c r="AL44" s="683"/>
      <c r="AM44" s="683"/>
      <c r="AN44" s="683"/>
      <c r="AO44" s="683"/>
      <c r="AP44" s="684"/>
    </row>
    <row r="45" spans="1:42" ht="15.75" thickBot="1">
      <c r="B45" s="393" t="s">
        <v>87</v>
      </c>
      <c r="C45" s="396" t="s">
        <v>107</v>
      </c>
      <c r="D45" s="260" t="s">
        <v>116</v>
      </c>
      <c r="E45" s="260" t="s">
        <v>124</v>
      </c>
      <c r="F45" s="260" t="s">
        <v>132</v>
      </c>
      <c r="G45" s="260" t="s">
        <v>139</v>
      </c>
      <c r="H45" s="260" t="s">
        <v>145</v>
      </c>
      <c r="I45" s="260" t="s">
        <v>150</v>
      </c>
      <c r="J45" s="260" t="s">
        <v>154</v>
      </c>
      <c r="K45" s="260" t="s">
        <v>157</v>
      </c>
      <c r="L45" s="260" t="s">
        <v>160</v>
      </c>
      <c r="M45" s="260" t="s">
        <v>159</v>
      </c>
      <c r="N45" s="382">
        <v>22</v>
      </c>
      <c r="P45" s="393" t="s">
        <v>87</v>
      </c>
      <c r="Q45" s="398" t="s">
        <v>107</v>
      </c>
      <c r="R45" s="392" t="s">
        <v>116</v>
      </c>
      <c r="S45" s="260" t="s">
        <v>124</v>
      </c>
      <c r="T45" s="260" t="s">
        <v>132</v>
      </c>
      <c r="U45" s="260" t="s">
        <v>139</v>
      </c>
      <c r="V45" s="260" t="s">
        <v>145</v>
      </c>
      <c r="W45" s="260" t="s">
        <v>150</v>
      </c>
      <c r="X45" s="260" t="s">
        <v>154</v>
      </c>
      <c r="Y45" s="260" t="s">
        <v>157</v>
      </c>
      <c r="Z45" s="260" t="s">
        <v>160</v>
      </c>
      <c r="AA45" s="260" t="s">
        <v>159</v>
      </c>
      <c r="AB45" s="382">
        <v>22</v>
      </c>
      <c r="AD45" s="685"/>
      <c r="AE45" s="686"/>
      <c r="AF45" s="686"/>
      <c r="AG45" s="686"/>
      <c r="AH45" s="686"/>
      <c r="AI45" s="686"/>
      <c r="AJ45" s="686"/>
      <c r="AK45" s="686"/>
      <c r="AL45" s="686"/>
      <c r="AM45" s="686"/>
      <c r="AN45" s="686"/>
      <c r="AO45" s="686"/>
      <c r="AP45" s="687"/>
    </row>
    <row r="61" ht="23.25" customHeight="1"/>
  </sheetData>
  <mergeCells count="18">
    <mergeCell ref="C12:N12"/>
    <mergeCell ref="AD17:AP17"/>
    <mergeCell ref="AD33:AP45"/>
    <mergeCell ref="B32:N32"/>
    <mergeCell ref="P32:AB32"/>
    <mergeCell ref="AD32:AP32"/>
    <mergeCell ref="AD2:AP2"/>
    <mergeCell ref="B2:G3"/>
    <mergeCell ref="P17:AB17"/>
    <mergeCell ref="P2:AB2"/>
    <mergeCell ref="B17:N17"/>
    <mergeCell ref="C13:N13"/>
    <mergeCell ref="C14:N14"/>
    <mergeCell ref="C15:N15"/>
    <mergeCell ref="C8:N8"/>
    <mergeCell ref="C9:N9"/>
    <mergeCell ref="C10:N10"/>
    <mergeCell ref="C11:N1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VolResMP">
                <anchor moveWithCells="1" sizeWithCells="1">
                  <from>
                    <xdr:col>3</xdr:col>
                    <xdr:colOff>171450</xdr:colOff>
                    <xdr:row>1</xdr:row>
                    <xdr:rowOff>47625</xdr:rowOff>
                  </from>
                  <to>
                    <xdr:col>6</xdr:col>
                    <xdr:colOff>142875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A52"/>
  <sheetViews>
    <sheetView showGridLines="0" showRowColHeaders="0" zoomScale="90" zoomScaleNormal="90" workbookViewId="0">
      <selection activeCell="K30" sqref="K30"/>
    </sheetView>
  </sheetViews>
  <sheetFormatPr defaultRowHeight="15"/>
  <cols>
    <col min="1" max="15" width="4.7109375" customWidth="1"/>
    <col min="16" max="16" width="4.85546875" customWidth="1"/>
    <col min="17" max="47" width="4.7109375" customWidth="1"/>
  </cols>
  <sheetData>
    <row r="1" spans="1:53" ht="15.75" thickBot="1"/>
    <row r="2" spans="1:53">
      <c r="B2" s="652"/>
      <c r="C2" s="653"/>
      <c r="D2" s="653"/>
      <c r="E2" s="653"/>
      <c r="F2" s="653"/>
      <c r="G2" s="654"/>
    </row>
    <row r="3" spans="1:53" ht="15.75" thickBot="1">
      <c r="B3" s="655"/>
      <c r="C3" s="656"/>
      <c r="D3" s="656"/>
      <c r="E3" s="656"/>
      <c r="F3" s="656"/>
      <c r="G3" s="657"/>
    </row>
    <row r="4" spans="1:53" ht="15.75" thickBot="1"/>
    <row r="5" spans="1:53">
      <c r="B5" s="474"/>
      <c r="C5" s="706" t="s">
        <v>162</v>
      </c>
      <c r="D5" s="707"/>
      <c r="E5" s="707"/>
      <c r="F5" s="707"/>
      <c r="G5" s="707"/>
      <c r="H5" s="707"/>
      <c r="I5" s="707"/>
      <c r="J5" s="707"/>
      <c r="K5" s="707"/>
      <c r="L5" s="707"/>
      <c r="M5" s="707"/>
      <c r="N5" s="708"/>
    </row>
    <row r="6" spans="1:53">
      <c r="B6" s="475"/>
      <c r="C6" s="664" t="s">
        <v>282</v>
      </c>
      <c r="D6" s="665"/>
      <c r="E6" s="665"/>
      <c r="F6" s="665"/>
      <c r="G6" s="665"/>
      <c r="H6" s="665"/>
      <c r="I6" s="665"/>
      <c r="J6" s="665"/>
      <c r="K6" s="665"/>
      <c r="L6" s="665"/>
      <c r="M6" s="665"/>
      <c r="N6" s="666"/>
    </row>
    <row r="7" spans="1:53">
      <c r="B7" s="476"/>
      <c r="C7" s="664" t="s">
        <v>215</v>
      </c>
      <c r="D7" s="665"/>
      <c r="E7" s="665"/>
      <c r="F7" s="665"/>
      <c r="G7" s="665"/>
      <c r="H7" s="665"/>
      <c r="I7" s="665"/>
      <c r="J7" s="665"/>
      <c r="K7" s="665"/>
      <c r="L7" s="665"/>
      <c r="M7" s="665"/>
      <c r="N7" s="666"/>
    </row>
    <row r="8" spans="1:53">
      <c r="B8" s="477"/>
      <c r="C8" s="664" t="s">
        <v>213</v>
      </c>
      <c r="D8" s="665"/>
      <c r="E8" s="665"/>
      <c r="F8" s="665"/>
      <c r="G8" s="665"/>
      <c r="H8" s="665"/>
      <c r="I8" s="665"/>
      <c r="J8" s="665"/>
      <c r="K8" s="665"/>
      <c r="L8" s="665"/>
      <c r="M8" s="665"/>
      <c r="N8" s="666"/>
    </row>
    <row r="9" spans="1:53">
      <c r="B9" s="478"/>
      <c r="C9" s="664" t="s">
        <v>289</v>
      </c>
      <c r="D9" s="665"/>
      <c r="E9" s="665"/>
      <c r="F9" s="665"/>
      <c r="G9" s="665"/>
      <c r="H9" s="665"/>
      <c r="I9" s="665"/>
      <c r="J9" s="665"/>
      <c r="K9" s="665"/>
      <c r="L9" s="665"/>
      <c r="M9" s="665"/>
      <c r="N9" s="666"/>
    </row>
    <row r="10" spans="1:53">
      <c r="B10" s="479"/>
      <c r="C10" s="664" t="s">
        <v>290</v>
      </c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666"/>
    </row>
    <row r="11" spans="1:53" ht="15.75" thickBot="1">
      <c r="B11" s="480"/>
      <c r="C11" s="667" t="s">
        <v>283</v>
      </c>
      <c r="D11" s="668"/>
      <c r="E11" s="668"/>
      <c r="F11" s="668"/>
      <c r="G11" s="668"/>
      <c r="H11" s="668"/>
      <c r="I11" s="668"/>
      <c r="J11" s="668"/>
      <c r="K11" s="668"/>
      <c r="L11" s="668"/>
      <c r="M11" s="668"/>
      <c r="N11" s="669"/>
    </row>
    <row r="12" spans="1:53" ht="15" customHeight="1" thickBot="1">
      <c r="A12" s="43"/>
      <c r="B12" s="108"/>
      <c r="C12" s="108"/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43"/>
      <c r="P12" s="108"/>
      <c r="Q12" s="108"/>
      <c r="R12" s="108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43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43"/>
      <c r="AR12" s="43"/>
      <c r="AS12" s="43"/>
      <c r="AT12" s="43"/>
      <c r="AU12" s="43"/>
    </row>
    <row r="13" spans="1:53" ht="15" customHeight="1">
      <c r="A13" s="43"/>
      <c r="B13" s="703" t="s">
        <v>276</v>
      </c>
      <c r="C13" s="704"/>
      <c r="D13" s="704"/>
      <c r="E13" s="704"/>
      <c r="F13" s="704"/>
      <c r="G13" s="704"/>
      <c r="H13" s="704"/>
      <c r="I13" s="704"/>
      <c r="J13" s="704"/>
      <c r="K13" s="704"/>
      <c r="L13" s="704"/>
      <c r="M13" s="704"/>
      <c r="N13" s="705"/>
      <c r="O13" s="134"/>
      <c r="P13" s="703" t="s">
        <v>288</v>
      </c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705"/>
      <c r="AC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4"/>
      <c r="BA13" s="134"/>
    </row>
    <row r="14" spans="1:53" ht="15" customHeight="1">
      <c r="A14" s="43"/>
      <c r="B14" s="320" t="s">
        <v>0</v>
      </c>
      <c r="C14" s="169" t="s">
        <v>5</v>
      </c>
      <c r="D14" s="191" t="s">
        <v>6</v>
      </c>
      <c r="E14" s="170" t="s">
        <v>7</v>
      </c>
      <c r="F14" s="170" t="s">
        <v>8</v>
      </c>
      <c r="G14" s="170" t="s">
        <v>9</v>
      </c>
      <c r="H14" s="171" t="s">
        <v>10</v>
      </c>
      <c r="I14" s="171" t="s">
        <v>11</v>
      </c>
      <c r="J14" s="171" t="s">
        <v>12</v>
      </c>
      <c r="K14" s="171" t="s">
        <v>13</v>
      </c>
      <c r="L14" s="171" t="s">
        <v>14</v>
      </c>
      <c r="M14" s="171" t="s">
        <v>15</v>
      </c>
      <c r="N14" s="321" t="s">
        <v>16</v>
      </c>
      <c r="O14" s="134"/>
      <c r="P14" s="320" t="s">
        <v>0</v>
      </c>
      <c r="Q14" s="169" t="s">
        <v>5</v>
      </c>
      <c r="R14" s="169" t="s">
        <v>6</v>
      </c>
      <c r="S14" s="170" t="s">
        <v>7</v>
      </c>
      <c r="T14" s="191" t="s">
        <v>8</v>
      </c>
      <c r="U14" s="170" t="s">
        <v>9</v>
      </c>
      <c r="V14" s="170" t="s">
        <v>10</v>
      </c>
      <c r="W14" s="170" t="s">
        <v>11</v>
      </c>
      <c r="X14" s="170" t="s">
        <v>12</v>
      </c>
      <c r="Y14" s="170" t="s">
        <v>13</v>
      </c>
      <c r="Z14" s="170" t="s">
        <v>14</v>
      </c>
      <c r="AA14" s="170" t="s">
        <v>15</v>
      </c>
      <c r="AB14" s="328" t="s">
        <v>16</v>
      </c>
      <c r="AC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</row>
    <row r="15" spans="1:53" ht="15" customHeight="1">
      <c r="A15" s="43"/>
      <c r="B15" s="320" t="s">
        <v>76</v>
      </c>
      <c r="C15" s="169" t="s">
        <v>1</v>
      </c>
      <c r="D15" s="170" t="s">
        <v>95</v>
      </c>
      <c r="E15" s="170" t="s">
        <v>94</v>
      </c>
      <c r="F15" s="170" t="s">
        <v>19</v>
      </c>
      <c r="G15" s="171" t="s">
        <v>20</v>
      </c>
      <c r="H15" s="171" t="s">
        <v>21</v>
      </c>
      <c r="I15" s="171" t="s">
        <v>22</v>
      </c>
      <c r="J15" s="171" t="s">
        <v>23</v>
      </c>
      <c r="K15" s="171" t="s">
        <v>24</v>
      </c>
      <c r="L15" s="171" t="s">
        <v>25</v>
      </c>
      <c r="M15" s="171" t="s">
        <v>26</v>
      </c>
      <c r="N15" s="321" t="s">
        <v>191</v>
      </c>
      <c r="O15" s="134"/>
      <c r="P15" s="320" t="s">
        <v>76</v>
      </c>
      <c r="Q15" s="169" t="s">
        <v>1</v>
      </c>
      <c r="R15" s="170" t="s">
        <v>95</v>
      </c>
      <c r="S15" s="170" t="s">
        <v>94</v>
      </c>
      <c r="T15" s="191" t="s">
        <v>19</v>
      </c>
      <c r="U15" s="191" t="s">
        <v>20</v>
      </c>
      <c r="V15" s="171" t="s">
        <v>21</v>
      </c>
      <c r="W15" s="171" t="s">
        <v>22</v>
      </c>
      <c r="X15" s="171" t="s">
        <v>23</v>
      </c>
      <c r="Y15" s="171" t="s">
        <v>24</v>
      </c>
      <c r="Z15" s="171" t="s">
        <v>25</v>
      </c>
      <c r="AA15" s="171" t="s">
        <v>26</v>
      </c>
      <c r="AB15" s="321" t="s">
        <v>191</v>
      </c>
      <c r="AC15" s="134"/>
      <c r="AQ15" s="134"/>
      <c r="AR15" s="134"/>
      <c r="AS15" s="134"/>
      <c r="AT15" s="134"/>
      <c r="AU15" s="134"/>
      <c r="AV15" s="134"/>
      <c r="AW15" s="134"/>
      <c r="AX15" s="134"/>
      <c r="AY15" s="134"/>
      <c r="AZ15" s="134"/>
      <c r="BA15" s="134"/>
    </row>
    <row r="16" spans="1:53" ht="15" customHeight="1">
      <c r="A16" s="43"/>
      <c r="B16" s="322" t="s">
        <v>77</v>
      </c>
      <c r="C16" s="191" t="s">
        <v>17</v>
      </c>
      <c r="D16" s="169" t="s">
        <v>2</v>
      </c>
      <c r="E16" s="170" t="s">
        <v>97</v>
      </c>
      <c r="F16" s="170" t="s">
        <v>92</v>
      </c>
      <c r="G16" s="171" t="s">
        <v>96</v>
      </c>
      <c r="H16" s="171" t="s">
        <v>73</v>
      </c>
      <c r="I16" s="171" t="s">
        <v>68</v>
      </c>
      <c r="J16" s="171" t="s">
        <v>62</v>
      </c>
      <c r="K16" s="171" t="s">
        <v>55</v>
      </c>
      <c r="L16" s="171" t="s">
        <v>47</v>
      </c>
      <c r="M16" s="171" t="s">
        <v>38</v>
      </c>
      <c r="N16" s="321" t="s">
        <v>30</v>
      </c>
      <c r="O16" s="134"/>
      <c r="P16" s="329" t="s">
        <v>77</v>
      </c>
      <c r="Q16" s="191" t="s">
        <v>17</v>
      </c>
      <c r="R16" s="169" t="s">
        <v>2</v>
      </c>
      <c r="S16" s="170" t="s">
        <v>97</v>
      </c>
      <c r="T16" s="170" t="s">
        <v>92</v>
      </c>
      <c r="U16" s="170" t="s">
        <v>96</v>
      </c>
      <c r="V16" s="171" t="s">
        <v>73</v>
      </c>
      <c r="W16" s="171" t="s">
        <v>68</v>
      </c>
      <c r="X16" s="171" t="s">
        <v>62</v>
      </c>
      <c r="Y16" s="171" t="s">
        <v>55</v>
      </c>
      <c r="Z16" s="171" t="s">
        <v>47</v>
      </c>
      <c r="AA16" s="171" t="s">
        <v>38</v>
      </c>
      <c r="AB16" s="321" t="s">
        <v>30</v>
      </c>
      <c r="AC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</row>
    <row r="17" spans="1:53" ht="15" customHeight="1">
      <c r="A17" s="43"/>
      <c r="B17" s="323" t="s">
        <v>78</v>
      </c>
      <c r="C17" s="171" t="s">
        <v>18</v>
      </c>
      <c r="D17" s="171" t="s">
        <v>93</v>
      </c>
      <c r="E17" s="169" t="s">
        <v>3</v>
      </c>
      <c r="F17" s="170" t="s">
        <v>91</v>
      </c>
      <c r="G17" s="171" t="s">
        <v>90</v>
      </c>
      <c r="H17" s="171" t="s">
        <v>74</v>
      </c>
      <c r="I17" s="171" t="s">
        <v>69</v>
      </c>
      <c r="J17" s="171" t="s">
        <v>63</v>
      </c>
      <c r="K17" s="171" t="s">
        <v>56</v>
      </c>
      <c r="L17" s="171" t="s">
        <v>48</v>
      </c>
      <c r="M17" s="171" t="s">
        <v>39</v>
      </c>
      <c r="N17" s="321" t="s">
        <v>28</v>
      </c>
      <c r="O17" s="134"/>
      <c r="P17" s="322" t="s">
        <v>78</v>
      </c>
      <c r="Q17" s="170" t="s">
        <v>18</v>
      </c>
      <c r="R17" s="171" t="s">
        <v>93</v>
      </c>
      <c r="S17" s="169" t="s">
        <v>3</v>
      </c>
      <c r="T17" s="170" t="s">
        <v>91</v>
      </c>
      <c r="U17" s="170" t="s">
        <v>90</v>
      </c>
      <c r="V17" s="171" t="s">
        <v>74</v>
      </c>
      <c r="W17" s="171" t="s">
        <v>69</v>
      </c>
      <c r="X17" s="171" t="s">
        <v>63</v>
      </c>
      <c r="Y17" s="171" t="s">
        <v>56</v>
      </c>
      <c r="Z17" s="171" t="s">
        <v>48</v>
      </c>
      <c r="AA17" s="171" t="s">
        <v>39</v>
      </c>
      <c r="AB17" s="321" t="s">
        <v>28</v>
      </c>
      <c r="AC17" s="134"/>
      <c r="AQ17" s="134"/>
      <c r="AR17" s="134"/>
      <c r="AS17" s="134"/>
      <c r="AT17" s="134"/>
      <c r="AU17" s="134"/>
      <c r="AV17" s="134"/>
      <c r="AW17" s="134"/>
      <c r="AX17" s="134"/>
      <c r="AY17" s="134"/>
      <c r="AZ17" s="134"/>
      <c r="BA17" s="134"/>
    </row>
    <row r="18" spans="1:53" ht="15" customHeight="1">
      <c r="A18" s="43"/>
      <c r="B18" s="324" t="s">
        <v>79</v>
      </c>
      <c r="C18" s="171" t="s">
        <v>98</v>
      </c>
      <c r="D18" s="171" t="s">
        <v>99</v>
      </c>
      <c r="E18" s="171" t="s">
        <v>100</v>
      </c>
      <c r="F18" s="172" t="s">
        <v>4</v>
      </c>
      <c r="G18" s="171" t="s">
        <v>89</v>
      </c>
      <c r="H18" s="171" t="s">
        <v>75</v>
      </c>
      <c r="I18" s="171" t="s">
        <v>70</v>
      </c>
      <c r="J18" s="171" t="s">
        <v>64</v>
      </c>
      <c r="K18" s="171" t="s">
        <v>57</v>
      </c>
      <c r="L18" s="171" t="s">
        <v>49</v>
      </c>
      <c r="M18" s="171" t="s">
        <v>40</v>
      </c>
      <c r="N18" s="321" t="s">
        <v>29</v>
      </c>
      <c r="O18" s="134"/>
      <c r="P18" s="322" t="s">
        <v>79</v>
      </c>
      <c r="Q18" s="171" t="s">
        <v>98</v>
      </c>
      <c r="R18" s="171" t="s">
        <v>99</v>
      </c>
      <c r="S18" s="171" t="s">
        <v>100</v>
      </c>
      <c r="T18" s="172" t="s">
        <v>4</v>
      </c>
      <c r="U18" s="170" t="s">
        <v>89</v>
      </c>
      <c r="V18" s="171" t="s">
        <v>75</v>
      </c>
      <c r="W18" s="171" t="s">
        <v>70</v>
      </c>
      <c r="X18" s="171" t="s">
        <v>64</v>
      </c>
      <c r="Y18" s="171" t="s">
        <v>57</v>
      </c>
      <c r="Z18" s="171" t="s">
        <v>49</v>
      </c>
      <c r="AA18" s="171" t="s">
        <v>40</v>
      </c>
      <c r="AB18" s="321" t="s">
        <v>29</v>
      </c>
      <c r="AC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</row>
    <row r="19" spans="1:53" ht="15" customHeight="1">
      <c r="A19" s="43"/>
      <c r="B19" s="324" t="s">
        <v>80</v>
      </c>
      <c r="C19" s="171" t="s">
        <v>101</v>
      </c>
      <c r="D19" s="171" t="s">
        <v>109</v>
      </c>
      <c r="E19" s="171" t="s">
        <v>117</v>
      </c>
      <c r="F19" s="171" t="s">
        <v>125</v>
      </c>
      <c r="G19" s="172">
        <v>99</v>
      </c>
      <c r="H19" s="171" t="s">
        <v>88</v>
      </c>
      <c r="I19" s="171" t="s">
        <v>71</v>
      </c>
      <c r="J19" s="171" t="s">
        <v>65</v>
      </c>
      <c r="K19" s="171" t="s">
        <v>58</v>
      </c>
      <c r="L19" s="171" t="s">
        <v>50</v>
      </c>
      <c r="M19" s="171" t="s">
        <v>41</v>
      </c>
      <c r="N19" s="321" t="s">
        <v>31</v>
      </c>
      <c r="O19" s="134"/>
      <c r="P19" s="324" t="s">
        <v>80</v>
      </c>
      <c r="Q19" s="171" t="s">
        <v>101</v>
      </c>
      <c r="R19" s="171" t="s">
        <v>109</v>
      </c>
      <c r="S19" s="171" t="s">
        <v>117</v>
      </c>
      <c r="T19" s="171" t="s">
        <v>125</v>
      </c>
      <c r="U19" s="169">
        <v>99</v>
      </c>
      <c r="V19" s="171" t="s">
        <v>88</v>
      </c>
      <c r="W19" s="171" t="s">
        <v>71</v>
      </c>
      <c r="X19" s="171" t="s">
        <v>65</v>
      </c>
      <c r="Y19" s="171" t="s">
        <v>58</v>
      </c>
      <c r="Z19" s="171" t="s">
        <v>50</v>
      </c>
      <c r="AA19" s="171" t="s">
        <v>41</v>
      </c>
      <c r="AB19" s="321" t="s">
        <v>31</v>
      </c>
      <c r="AC19" s="134"/>
      <c r="AQ19" s="134"/>
      <c r="AR19" s="134"/>
      <c r="AS19" s="134"/>
      <c r="AT19" s="134"/>
      <c r="AU19" s="134"/>
      <c r="AV19" s="134"/>
      <c r="AW19" s="134"/>
      <c r="AX19" s="134"/>
      <c r="AY19" s="134"/>
      <c r="AZ19" s="134"/>
      <c r="BA19" s="134"/>
    </row>
    <row r="20" spans="1:53" ht="15" customHeight="1">
      <c r="A20" s="43"/>
      <c r="B20" s="324" t="s">
        <v>81</v>
      </c>
      <c r="C20" s="171" t="s">
        <v>102</v>
      </c>
      <c r="D20" s="171" t="s">
        <v>110</v>
      </c>
      <c r="E20" s="171" t="s">
        <v>118</v>
      </c>
      <c r="F20" s="171" t="s">
        <v>126</v>
      </c>
      <c r="G20" s="171" t="s">
        <v>133</v>
      </c>
      <c r="H20" s="170">
        <v>88</v>
      </c>
      <c r="I20" s="171" t="s">
        <v>72</v>
      </c>
      <c r="J20" s="171" t="s">
        <v>66</v>
      </c>
      <c r="K20" s="171" t="s">
        <v>59</v>
      </c>
      <c r="L20" s="171" t="s">
        <v>51</v>
      </c>
      <c r="M20" s="171" t="s">
        <v>42</v>
      </c>
      <c r="N20" s="321" t="s">
        <v>32</v>
      </c>
      <c r="O20" s="134"/>
      <c r="P20" s="324" t="s">
        <v>81</v>
      </c>
      <c r="Q20" s="171" t="s">
        <v>102</v>
      </c>
      <c r="R20" s="171" t="s">
        <v>110</v>
      </c>
      <c r="S20" s="171" t="s">
        <v>118</v>
      </c>
      <c r="T20" s="171" t="s">
        <v>126</v>
      </c>
      <c r="U20" s="171" t="s">
        <v>133</v>
      </c>
      <c r="V20" s="170">
        <v>88</v>
      </c>
      <c r="W20" s="171" t="s">
        <v>72</v>
      </c>
      <c r="X20" s="171" t="s">
        <v>66</v>
      </c>
      <c r="Y20" s="171" t="s">
        <v>59</v>
      </c>
      <c r="Z20" s="171" t="s">
        <v>51</v>
      </c>
      <c r="AA20" s="171" t="s">
        <v>42</v>
      </c>
      <c r="AB20" s="321" t="s">
        <v>32</v>
      </c>
      <c r="AC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</row>
    <row r="21" spans="1:53" ht="15" customHeight="1">
      <c r="A21" s="43"/>
      <c r="B21" s="324" t="s">
        <v>82</v>
      </c>
      <c r="C21" s="171" t="s">
        <v>103</v>
      </c>
      <c r="D21" s="171" t="s">
        <v>111</v>
      </c>
      <c r="E21" s="171" t="s">
        <v>119</v>
      </c>
      <c r="F21" s="171" t="s">
        <v>127</v>
      </c>
      <c r="G21" s="171" t="s">
        <v>134</v>
      </c>
      <c r="H21" s="171" t="s">
        <v>140</v>
      </c>
      <c r="I21" s="170">
        <v>77</v>
      </c>
      <c r="J21" s="171" t="s">
        <v>67</v>
      </c>
      <c r="K21" s="171" t="s">
        <v>60</v>
      </c>
      <c r="L21" s="171" t="s">
        <v>52</v>
      </c>
      <c r="M21" s="171" t="s">
        <v>43</v>
      </c>
      <c r="N21" s="321" t="s">
        <v>33</v>
      </c>
      <c r="O21" s="134"/>
      <c r="P21" s="324" t="s">
        <v>82</v>
      </c>
      <c r="Q21" s="171" t="s">
        <v>103</v>
      </c>
      <c r="R21" s="171" t="s">
        <v>111</v>
      </c>
      <c r="S21" s="171" t="s">
        <v>119</v>
      </c>
      <c r="T21" s="171" t="s">
        <v>127</v>
      </c>
      <c r="U21" s="171" t="s">
        <v>134</v>
      </c>
      <c r="V21" s="171" t="s">
        <v>140</v>
      </c>
      <c r="W21" s="170">
        <v>77</v>
      </c>
      <c r="X21" s="171" t="s">
        <v>67</v>
      </c>
      <c r="Y21" s="171" t="s">
        <v>60</v>
      </c>
      <c r="Z21" s="171" t="s">
        <v>52</v>
      </c>
      <c r="AA21" s="171" t="s">
        <v>43</v>
      </c>
      <c r="AB21" s="321" t="s">
        <v>33</v>
      </c>
      <c r="AC21" s="134"/>
      <c r="AQ21" s="134"/>
    </row>
    <row r="22" spans="1:53" ht="15" customHeight="1">
      <c r="A22" s="43"/>
      <c r="B22" s="324" t="s">
        <v>83</v>
      </c>
      <c r="C22" s="171" t="s">
        <v>108</v>
      </c>
      <c r="D22" s="171" t="s">
        <v>112</v>
      </c>
      <c r="E22" s="171" t="s">
        <v>120</v>
      </c>
      <c r="F22" s="171" t="s">
        <v>128</v>
      </c>
      <c r="G22" s="171" t="s">
        <v>135</v>
      </c>
      <c r="H22" s="171" t="s">
        <v>141</v>
      </c>
      <c r="I22" s="171" t="s">
        <v>146</v>
      </c>
      <c r="J22" s="170">
        <v>66</v>
      </c>
      <c r="K22" s="171" t="s">
        <v>61</v>
      </c>
      <c r="L22" s="171" t="s">
        <v>53</v>
      </c>
      <c r="M22" s="171" t="s">
        <v>44</v>
      </c>
      <c r="N22" s="321" t="s">
        <v>34</v>
      </c>
      <c r="O22" s="134"/>
      <c r="P22" s="324" t="s">
        <v>83</v>
      </c>
      <c r="Q22" s="171" t="s">
        <v>108</v>
      </c>
      <c r="R22" s="171" t="s">
        <v>112</v>
      </c>
      <c r="S22" s="171" t="s">
        <v>120</v>
      </c>
      <c r="T22" s="171" t="s">
        <v>128</v>
      </c>
      <c r="U22" s="171" t="s">
        <v>135</v>
      </c>
      <c r="V22" s="171" t="s">
        <v>141</v>
      </c>
      <c r="W22" s="171" t="s">
        <v>146</v>
      </c>
      <c r="X22" s="170">
        <v>66</v>
      </c>
      <c r="Y22" s="171" t="s">
        <v>61</v>
      </c>
      <c r="Z22" s="171" t="s">
        <v>53</v>
      </c>
      <c r="AA22" s="171" t="s">
        <v>44</v>
      </c>
      <c r="AB22" s="321" t="s">
        <v>34</v>
      </c>
      <c r="AC22" s="134"/>
      <c r="AQ22" s="134"/>
    </row>
    <row r="23" spans="1:53" ht="15" customHeight="1">
      <c r="A23" s="43"/>
      <c r="B23" s="324" t="s">
        <v>84</v>
      </c>
      <c r="C23" s="171" t="s">
        <v>104</v>
      </c>
      <c r="D23" s="171" t="s">
        <v>113</v>
      </c>
      <c r="E23" s="171" t="s">
        <v>121</v>
      </c>
      <c r="F23" s="171" t="s">
        <v>129</v>
      </c>
      <c r="G23" s="171" t="s">
        <v>136</v>
      </c>
      <c r="H23" s="171" t="s">
        <v>142</v>
      </c>
      <c r="I23" s="171" t="s">
        <v>147</v>
      </c>
      <c r="J23" s="171" t="s">
        <v>151</v>
      </c>
      <c r="K23" s="170">
        <v>55</v>
      </c>
      <c r="L23" s="171" t="s">
        <v>54</v>
      </c>
      <c r="M23" s="171" t="s">
        <v>45</v>
      </c>
      <c r="N23" s="321" t="s">
        <v>35</v>
      </c>
      <c r="O23" s="134"/>
      <c r="P23" s="324" t="s">
        <v>84</v>
      </c>
      <c r="Q23" s="171" t="s">
        <v>104</v>
      </c>
      <c r="R23" s="171" t="s">
        <v>113</v>
      </c>
      <c r="S23" s="171" t="s">
        <v>121</v>
      </c>
      <c r="T23" s="171" t="s">
        <v>129</v>
      </c>
      <c r="U23" s="171" t="s">
        <v>136</v>
      </c>
      <c r="V23" s="171" t="s">
        <v>142</v>
      </c>
      <c r="W23" s="171" t="s">
        <v>147</v>
      </c>
      <c r="X23" s="171" t="s">
        <v>151</v>
      </c>
      <c r="Y23" s="170">
        <v>55</v>
      </c>
      <c r="Z23" s="171" t="s">
        <v>54</v>
      </c>
      <c r="AA23" s="171" t="s">
        <v>45</v>
      </c>
      <c r="AB23" s="321" t="s">
        <v>35</v>
      </c>
      <c r="AC23" s="134"/>
      <c r="AQ23" s="134"/>
    </row>
    <row r="24" spans="1:53" ht="15" customHeight="1">
      <c r="A24" s="43"/>
      <c r="B24" s="324" t="s">
        <v>85</v>
      </c>
      <c r="C24" s="171" t="s">
        <v>105</v>
      </c>
      <c r="D24" s="171" t="s">
        <v>114</v>
      </c>
      <c r="E24" s="171" t="s">
        <v>122</v>
      </c>
      <c r="F24" s="171" t="s">
        <v>130</v>
      </c>
      <c r="G24" s="171" t="s">
        <v>137</v>
      </c>
      <c r="H24" s="171" t="s">
        <v>143</v>
      </c>
      <c r="I24" s="171" t="s">
        <v>148</v>
      </c>
      <c r="J24" s="171" t="s">
        <v>152</v>
      </c>
      <c r="K24" s="171" t="s">
        <v>155</v>
      </c>
      <c r="L24" s="170">
        <v>44</v>
      </c>
      <c r="M24" s="171" t="s">
        <v>46</v>
      </c>
      <c r="N24" s="321" t="s">
        <v>36</v>
      </c>
      <c r="O24" s="134"/>
      <c r="P24" s="324" t="s">
        <v>85</v>
      </c>
      <c r="Q24" s="171" t="s">
        <v>105</v>
      </c>
      <c r="R24" s="171" t="s">
        <v>114</v>
      </c>
      <c r="S24" s="171" t="s">
        <v>122</v>
      </c>
      <c r="T24" s="171" t="s">
        <v>130</v>
      </c>
      <c r="U24" s="171" t="s">
        <v>137</v>
      </c>
      <c r="V24" s="171" t="s">
        <v>143</v>
      </c>
      <c r="W24" s="171" t="s">
        <v>148</v>
      </c>
      <c r="X24" s="171" t="s">
        <v>152</v>
      </c>
      <c r="Y24" s="171" t="s">
        <v>155</v>
      </c>
      <c r="Z24" s="170">
        <v>44</v>
      </c>
      <c r="AA24" s="171" t="s">
        <v>46</v>
      </c>
      <c r="AB24" s="321" t="s">
        <v>36</v>
      </c>
      <c r="AC24" s="134"/>
      <c r="AQ24" s="134"/>
    </row>
    <row r="25" spans="1:53" ht="15" customHeight="1">
      <c r="A25" s="43"/>
      <c r="B25" s="324" t="s">
        <v>86</v>
      </c>
      <c r="C25" s="171" t="s">
        <v>106</v>
      </c>
      <c r="D25" s="171" t="s">
        <v>115</v>
      </c>
      <c r="E25" s="171" t="s">
        <v>123</v>
      </c>
      <c r="F25" s="171" t="s">
        <v>131</v>
      </c>
      <c r="G25" s="171" t="s">
        <v>138</v>
      </c>
      <c r="H25" s="171" t="s">
        <v>144</v>
      </c>
      <c r="I25" s="171" t="s">
        <v>149</v>
      </c>
      <c r="J25" s="171" t="s">
        <v>153</v>
      </c>
      <c r="K25" s="171" t="s">
        <v>156</v>
      </c>
      <c r="L25" s="171" t="s">
        <v>158</v>
      </c>
      <c r="M25" s="170">
        <v>33</v>
      </c>
      <c r="N25" s="321" t="s">
        <v>37</v>
      </c>
      <c r="O25" s="134"/>
      <c r="P25" s="324" t="s">
        <v>86</v>
      </c>
      <c r="Q25" s="171" t="s">
        <v>106</v>
      </c>
      <c r="R25" s="171" t="s">
        <v>115</v>
      </c>
      <c r="S25" s="171" t="s">
        <v>123</v>
      </c>
      <c r="T25" s="171" t="s">
        <v>131</v>
      </c>
      <c r="U25" s="171" t="s">
        <v>138</v>
      </c>
      <c r="V25" s="171" t="s">
        <v>144</v>
      </c>
      <c r="W25" s="171" t="s">
        <v>149</v>
      </c>
      <c r="X25" s="171" t="s">
        <v>153</v>
      </c>
      <c r="Y25" s="171" t="s">
        <v>156</v>
      </c>
      <c r="Z25" s="171" t="s">
        <v>158</v>
      </c>
      <c r="AA25" s="170">
        <v>33</v>
      </c>
      <c r="AB25" s="321" t="s">
        <v>37</v>
      </c>
      <c r="AC25" s="134"/>
      <c r="AQ25" s="134"/>
    </row>
    <row r="26" spans="1:53" ht="15" customHeight="1" thickBot="1">
      <c r="A26" s="43"/>
      <c r="B26" s="325" t="s">
        <v>87</v>
      </c>
      <c r="C26" s="326" t="s">
        <v>107</v>
      </c>
      <c r="D26" s="326" t="s">
        <v>116</v>
      </c>
      <c r="E26" s="326" t="s">
        <v>124</v>
      </c>
      <c r="F26" s="326" t="s">
        <v>132</v>
      </c>
      <c r="G26" s="326" t="s">
        <v>139</v>
      </c>
      <c r="H26" s="326" t="s">
        <v>145</v>
      </c>
      <c r="I26" s="326" t="s">
        <v>150</v>
      </c>
      <c r="J26" s="326" t="s">
        <v>154</v>
      </c>
      <c r="K26" s="326" t="s">
        <v>157</v>
      </c>
      <c r="L26" s="326" t="s">
        <v>160</v>
      </c>
      <c r="M26" s="326" t="s">
        <v>159</v>
      </c>
      <c r="N26" s="327">
        <v>22</v>
      </c>
      <c r="O26" s="134"/>
      <c r="P26" s="325" t="s">
        <v>87</v>
      </c>
      <c r="Q26" s="326" t="s">
        <v>107</v>
      </c>
      <c r="R26" s="326" t="s">
        <v>116</v>
      </c>
      <c r="S26" s="326" t="s">
        <v>124</v>
      </c>
      <c r="T26" s="326" t="s">
        <v>132</v>
      </c>
      <c r="U26" s="326" t="s">
        <v>139</v>
      </c>
      <c r="V26" s="326" t="s">
        <v>145</v>
      </c>
      <c r="W26" s="326" t="s">
        <v>150</v>
      </c>
      <c r="X26" s="326" t="s">
        <v>154</v>
      </c>
      <c r="Y26" s="326" t="s">
        <v>157</v>
      </c>
      <c r="Z26" s="326" t="s">
        <v>160</v>
      </c>
      <c r="AA26" s="326" t="s">
        <v>159</v>
      </c>
      <c r="AB26" s="327">
        <v>22</v>
      </c>
      <c r="AC26" s="134"/>
      <c r="AQ26" s="134"/>
    </row>
    <row r="27" spans="1:53" ht="15" customHeight="1" thickBot="1">
      <c r="A27" s="43"/>
      <c r="B27" s="43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43"/>
      <c r="P27" s="43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43"/>
      <c r="AD27" s="43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43"/>
    </row>
    <row r="28" spans="1:53" ht="15" customHeight="1">
      <c r="A28" s="43"/>
      <c r="B28" s="703" t="s">
        <v>277</v>
      </c>
      <c r="C28" s="704"/>
      <c r="D28" s="704"/>
      <c r="E28" s="704"/>
      <c r="F28" s="704"/>
      <c r="G28" s="704"/>
      <c r="H28" s="704"/>
      <c r="I28" s="704"/>
      <c r="J28" s="704"/>
      <c r="K28" s="704"/>
      <c r="L28" s="704"/>
      <c r="M28" s="704"/>
      <c r="N28" s="705"/>
      <c r="O28" s="43"/>
      <c r="P28" s="703" t="s">
        <v>278</v>
      </c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705"/>
      <c r="AC28" s="43"/>
      <c r="AD28" s="43"/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7"/>
      <c r="AQ28" s="43"/>
      <c r="AR28" s="43"/>
      <c r="AS28" s="43"/>
      <c r="AT28" s="43"/>
      <c r="AU28" s="43"/>
    </row>
    <row r="29" spans="1:53" ht="15" customHeight="1">
      <c r="A29" s="43"/>
      <c r="B29" s="320" t="s">
        <v>0</v>
      </c>
      <c r="C29" s="169" t="s">
        <v>5</v>
      </c>
      <c r="D29" s="169" t="s">
        <v>6</v>
      </c>
      <c r="E29" s="169" t="s">
        <v>7</v>
      </c>
      <c r="F29" s="192" t="s">
        <v>8</v>
      </c>
      <c r="G29" s="170" t="s">
        <v>9</v>
      </c>
      <c r="H29" s="170" t="s">
        <v>10</v>
      </c>
      <c r="I29" s="170" t="s">
        <v>11</v>
      </c>
      <c r="J29" s="170" t="s">
        <v>12</v>
      </c>
      <c r="K29" s="170" t="s">
        <v>13</v>
      </c>
      <c r="L29" s="170" t="s">
        <v>14</v>
      </c>
      <c r="M29" s="170" t="s">
        <v>15</v>
      </c>
      <c r="N29" s="336" t="s">
        <v>16</v>
      </c>
      <c r="O29" s="43"/>
      <c r="P29" s="320" t="s">
        <v>0</v>
      </c>
      <c r="Q29" s="169" t="s">
        <v>5</v>
      </c>
      <c r="R29" s="169" t="s">
        <v>6</v>
      </c>
      <c r="S29" s="169" t="s">
        <v>7</v>
      </c>
      <c r="T29" s="192" t="s">
        <v>8</v>
      </c>
      <c r="U29" s="192" t="s">
        <v>9</v>
      </c>
      <c r="V29" s="170" t="s">
        <v>10</v>
      </c>
      <c r="W29" s="170" t="s">
        <v>11</v>
      </c>
      <c r="X29" s="170" t="s">
        <v>12</v>
      </c>
      <c r="Y29" s="170" t="s">
        <v>13</v>
      </c>
      <c r="Z29" s="170" t="s">
        <v>14</v>
      </c>
      <c r="AA29" s="170" t="s">
        <v>15</v>
      </c>
      <c r="AB29" s="328" t="s">
        <v>16</v>
      </c>
      <c r="AC29" s="43"/>
      <c r="AN29" s="43"/>
      <c r="AO29" s="43"/>
      <c r="AP29" s="43"/>
      <c r="AQ29" s="43"/>
      <c r="AR29" s="43"/>
      <c r="AS29" s="43"/>
      <c r="AT29" s="43"/>
      <c r="AU29" s="43"/>
    </row>
    <row r="30" spans="1:53" ht="15" customHeight="1">
      <c r="A30" s="43"/>
      <c r="B30" s="320" t="s">
        <v>76</v>
      </c>
      <c r="C30" s="169" t="s">
        <v>1</v>
      </c>
      <c r="D30" s="192" t="s">
        <v>95</v>
      </c>
      <c r="E30" s="170" t="s">
        <v>94</v>
      </c>
      <c r="F30" s="170" t="s">
        <v>19</v>
      </c>
      <c r="G30" s="170" t="s">
        <v>20</v>
      </c>
      <c r="H30" s="193" t="s">
        <v>21</v>
      </c>
      <c r="I30" s="194" t="s">
        <v>22</v>
      </c>
      <c r="J30" s="195" t="s">
        <v>23</v>
      </c>
      <c r="K30" s="195" t="s">
        <v>24</v>
      </c>
      <c r="L30" s="171" t="s">
        <v>25</v>
      </c>
      <c r="M30" s="171" t="s">
        <v>26</v>
      </c>
      <c r="N30" s="321" t="s">
        <v>191</v>
      </c>
      <c r="O30" s="43"/>
      <c r="P30" s="320" t="s">
        <v>76</v>
      </c>
      <c r="Q30" s="169" t="s">
        <v>1</v>
      </c>
      <c r="R30" s="169" t="s">
        <v>95</v>
      </c>
      <c r="S30" s="192" t="s">
        <v>94</v>
      </c>
      <c r="T30" s="192" t="s">
        <v>19</v>
      </c>
      <c r="U30" s="170" t="s">
        <v>20</v>
      </c>
      <c r="V30" s="170" t="s">
        <v>21</v>
      </c>
      <c r="W30" s="170" t="s">
        <v>22</v>
      </c>
      <c r="X30" s="196" t="s">
        <v>23</v>
      </c>
      <c r="Y30" s="196" t="s">
        <v>24</v>
      </c>
      <c r="Z30" s="171" t="s">
        <v>25</v>
      </c>
      <c r="AA30" s="171" t="s">
        <v>26</v>
      </c>
      <c r="AB30" s="321" t="s">
        <v>191</v>
      </c>
      <c r="AC30" s="43"/>
      <c r="AN30" s="43"/>
      <c r="AO30" s="43"/>
      <c r="AP30" s="43"/>
      <c r="AQ30" s="43"/>
      <c r="AR30" s="43"/>
      <c r="AS30" s="43"/>
      <c r="AT30" s="43"/>
      <c r="AU30" s="43"/>
    </row>
    <row r="31" spans="1:53" ht="15" customHeight="1">
      <c r="A31" s="43"/>
      <c r="B31" s="320" t="s">
        <v>77</v>
      </c>
      <c r="C31" s="170" t="s">
        <v>17</v>
      </c>
      <c r="D31" s="169" t="s">
        <v>2</v>
      </c>
      <c r="E31" s="170" t="s">
        <v>97</v>
      </c>
      <c r="F31" s="170" t="s">
        <v>92</v>
      </c>
      <c r="G31" s="170" t="s">
        <v>96</v>
      </c>
      <c r="H31" s="193" t="s">
        <v>73</v>
      </c>
      <c r="I31" s="195" t="s">
        <v>68</v>
      </c>
      <c r="J31" s="195" t="s">
        <v>62</v>
      </c>
      <c r="K31" s="195" t="s">
        <v>55</v>
      </c>
      <c r="L31" s="171" t="s">
        <v>47</v>
      </c>
      <c r="M31" s="171" t="s">
        <v>38</v>
      </c>
      <c r="N31" s="321" t="s">
        <v>30</v>
      </c>
      <c r="O31" s="43"/>
      <c r="P31" s="320" t="s">
        <v>77</v>
      </c>
      <c r="Q31" s="197" t="s">
        <v>17</v>
      </c>
      <c r="R31" s="169" t="s">
        <v>2</v>
      </c>
      <c r="S31" s="170" t="s">
        <v>97</v>
      </c>
      <c r="T31" s="170" t="s">
        <v>92</v>
      </c>
      <c r="U31" s="170" t="s">
        <v>96</v>
      </c>
      <c r="V31" s="170" t="s">
        <v>73</v>
      </c>
      <c r="W31" s="171" t="s">
        <v>68</v>
      </c>
      <c r="X31" s="171" t="s">
        <v>62</v>
      </c>
      <c r="Y31" s="171" t="s">
        <v>55</v>
      </c>
      <c r="Z31" s="171" t="s">
        <v>47</v>
      </c>
      <c r="AA31" s="171" t="s">
        <v>38</v>
      </c>
      <c r="AB31" s="321" t="s">
        <v>30</v>
      </c>
      <c r="AC31" s="43"/>
      <c r="AN31" s="43"/>
      <c r="AO31" s="43"/>
      <c r="AP31" s="43"/>
      <c r="AQ31" s="43"/>
      <c r="AR31" s="43"/>
      <c r="AS31" s="43"/>
      <c r="AT31" s="43"/>
      <c r="AU31" s="43"/>
    </row>
    <row r="32" spans="1:53" ht="15" customHeight="1">
      <c r="A32" s="43"/>
      <c r="B32" s="337" t="s">
        <v>78</v>
      </c>
      <c r="C32" s="170" t="s">
        <v>18</v>
      </c>
      <c r="D32" s="170" t="s">
        <v>93</v>
      </c>
      <c r="E32" s="169" t="s">
        <v>3</v>
      </c>
      <c r="F32" s="170" t="s">
        <v>91</v>
      </c>
      <c r="G32" s="170" t="s">
        <v>90</v>
      </c>
      <c r="H32" s="193" t="s">
        <v>74</v>
      </c>
      <c r="I32" s="171" t="s">
        <v>69</v>
      </c>
      <c r="J32" s="171" t="s">
        <v>63</v>
      </c>
      <c r="K32" s="171" t="s">
        <v>56</v>
      </c>
      <c r="L32" s="171" t="s">
        <v>48</v>
      </c>
      <c r="M32" s="171" t="s">
        <v>39</v>
      </c>
      <c r="N32" s="321" t="s">
        <v>28</v>
      </c>
      <c r="O32" s="43"/>
      <c r="P32" s="320" t="s">
        <v>78</v>
      </c>
      <c r="Q32" s="170" t="s">
        <v>18</v>
      </c>
      <c r="R32" s="170" t="s">
        <v>93</v>
      </c>
      <c r="S32" s="169" t="s">
        <v>3</v>
      </c>
      <c r="T32" s="170" t="s">
        <v>91</v>
      </c>
      <c r="U32" s="170" t="s">
        <v>90</v>
      </c>
      <c r="V32" s="170" t="s">
        <v>74</v>
      </c>
      <c r="W32" s="171" t="s">
        <v>69</v>
      </c>
      <c r="X32" s="171" t="s">
        <v>63</v>
      </c>
      <c r="Y32" s="171" t="s">
        <v>56</v>
      </c>
      <c r="Z32" s="171" t="s">
        <v>48</v>
      </c>
      <c r="AA32" s="171" t="s">
        <v>39</v>
      </c>
      <c r="AB32" s="321" t="s">
        <v>28</v>
      </c>
      <c r="AC32" s="43"/>
      <c r="AN32" s="43"/>
      <c r="AO32" s="43"/>
      <c r="AP32" s="43"/>
      <c r="AQ32" s="43"/>
      <c r="AR32" s="43"/>
      <c r="AS32" s="43"/>
      <c r="AT32" s="43"/>
      <c r="AU32" s="43"/>
    </row>
    <row r="33" spans="1:47" ht="15" customHeight="1">
      <c r="A33" s="43"/>
      <c r="B33" s="331" t="s">
        <v>79</v>
      </c>
      <c r="C33" s="194" t="s">
        <v>98</v>
      </c>
      <c r="D33" s="195" t="s">
        <v>99</v>
      </c>
      <c r="E33" s="171" t="s">
        <v>100</v>
      </c>
      <c r="F33" s="169" t="s">
        <v>4</v>
      </c>
      <c r="G33" s="170" t="s">
        <v>89</v>
      </c>
      <c r="H33" s="170" t="s">
        <v>75</v>
      </c>
      <c r="I33" s="171" t="s">
        <v>70</v>
      </c>
      <c r="J33" s="171" t="s">
        <v>64</v>
      </c>
      <c r="K33" s="171" t="s">
        <v>57</v>
      </c>
      <c r="L33" s="171" t="s">
        <v>49</v>
      </c>
      <c r="M33" s="171" t="s">
        <v>40</v>
      </c>
      <c r="N33" s="321" t="s">
        <v>29</v>
      </c>
      <c r="O33" s="43"/>
      <c r="P33" s="330" t="s">
        <v>79</v>
      </c>
      <c r="Q33" s="193" t="s">
        <v>98</v>
      </c>
      <c r="R33" s="170" t="s">
        <v>99</v>
      </c>
      <c r="S33" s="196" t="s">
        <v>100</v>
      </c>
      <c r="T33" s="169" t="s">
        <v>4</v>
      </c>
      <c r="U33" s="170" t="s">
        <v>89</v>
      </c>
      <c r="V33" s="170" t="s">
        <v>75</v>
      </c>
      <c r="W33" s="171" t="s">
        <v>70</v>
      </c>
      <c r="X33" s="171" t="s">
        <v>64</v>
      </c>
      <c r="Y33" s="171" t="s">
        <v>57</v>
      </c>
      <c r="Z33" s="171" t="s">
        <v>49</v>
      </c>
      <c r="AA33" s="171" t="s">
        <v>40</v>
      </c>
      <c r="AB33" s="321" t="s">
        <v>29</v>
      </c>
      <c r="AC33" s="43"/>
      <c r="AN33" s="43"/>
      <c r="AO33" s="43"/>
      <c r="AP33" s="43"/>
      <c r="AQ33" s="43"/>
      <c r="AR33" s="43"/>
      <c r="AS33" s="43"/>
      <c r="AT33" s="43"/>
      <c r="AU33" s="43"/>
    </row>
    <row r="34" spans="1:47" ht="15" customHeight="1">
      <c r="A34" s="43"/>
      <c r="B34" s="331" t="s">
        <v>80</v>
      </c>
      <c r="C34" s="171" t="s">
        <v>101</v>
      </c>
      <c r="D34" s="171" t="s">
        <v>109</v>
      </c>
      <c r="E34" s="171" t="s">
        <v>117</v>
      </c>
      <c r="F34" s="171" t="s">
        <v>125</v>
      </c>
      <c r="G34" s="169">
        <v>99</v>
      </c>
      <c r="H34" s="170" t="s">
        <v>88</v>
      </c>
      <c r="I34" s="171" t="s">
        <v>71</v>
      </c>
      <c r="J34" s="171" t="s">
        <v>65</v>
      </c>
      <c r="K34" s="171" t="s">
        <v>58</v>
      </c>
      <c r="L34" s="171" t="s">
        <v>50</v>
      </c>
      <c r="M34" s="171" t="s">
        <v>41</v>
      </c>
      <c r="N34" s="321" t="s">
        <v>31</v>
      </c>
      <c r="O34" s="43"/>
      <c r="P34" s="331" t="s">
        <v>80</v>
      </c>
      <c r="Q34" s="196" t="s">
        <v>101</v>
      </c>
      <c r="R34" s="195" t="s">
        <v>109</v>
      </c>
      <c r="S34" s="171" t="s">
        <v>117</v>
      </c>
      <c r="T34" s="171" t="s">
        <v>125</v>
      </c>
      <c r="U34" s="169">
        <v>99</v>
      </c>
      <c r="V34" s="170" t="s">
        <v>88</v>
      </c>
      <c r="W34" s="171" t="s">
        <v>71</v>
      </c>
      <c r="X34" s="171" t="s">
        <v>65</v>
      </c>
      <c r="Y34" s="171" t="s">
        <v>58</v>
      </c>
      <c r="Z34" s="171" t="s">
        <v>50</v>
      </c>
      <c r="AA34" s="171" t="s">
        <v>41</v>
      </c>
      <c r="AB34" s="321" t="s">
        <v>31</v>
      </c>
      <c r="AC34" s="43"/>
      <c r="AN34" s="43"/>
      <c r="AO34" s="43"/>
      <c r="AP34" s="43"/>
      <c r="AQ34" s="43"/>
      <c r="AR34" s="43"/>
      <c r="AS34" s="43"/>
      <c r="AT34" s="43"/>
      <c r="AU34" s="43"/>
    </row>
    <row r="35" spans="1:47" ht="15" customHeight="1">
      <c r="A35" s="43"/>
      <c r="B35" s="333" t="s">
        <v>81</v>
      </c>
      <c r="C35" s="171" t="s">
        <v>102</v>
      </c>
      <c r="D35" s="171" t="s">
        <v>110</v>
      </c>
      <c r="E35" s="171" t="s">
        <v>118</v>
      </c>
      <c r="F35" s="171" t="s">
        <v>126</v>
      </c>
      <c r="G35" s="171" t="s">
        <v>133</v>
      </c>
      <c r="H35" s="169">
        <v>88</v>
      </c>
      <c r="I35" s="171" t="s">
        <v>72</v>
      </c>
      <c r="J35" s="171" t="s">
        <v>66</v>
      </c>
      <c r="K35" s="171" t="s">
        <v>59</v>
      </c>
      <c r="L35" s="171" t="s">
        <v>51</v>
      </c>
      <c r="M35" s="171" t="s">
        <v>42</v>
      </c>
      <c r="N35" s="321" t="s">
        <v>32</v>
      </c>
      <c r="O35" s="43"/>
      <c r="P35" s="332" t="s">
        <v>81</v>
      </c>
      <c r="Q35" s="171" t="s">
        <v>102</v>
      </c>
      <c r="R35" s="171" t="s">
        <v>110</v>
      </c>
      <c r="S35" s="171" t="s">
        <v>118</v>
      </c>
      <c r="T35" s="171" t="s">
        <v>126</v>
      </c>
      <c r="U35" s="171" t="s">
        <v>133</v>
      </c>
      <c r="V35" s="169">
        <v>88</v>
      </c>
      <c r="W35" s="171" t="s">
        <v>72</v>
      </c>
      <c r="X35" s="171" t="s">
        <v>66</v>
      </c>
      <c r="Y35" s="171" t="s">
        <v>59</v>
      </c>
      <c r="Z35" s="171" t="s">
        <v>51</v>
      </c>
      <c r="AA35" s="171" t="s">
        <v>42</v>
      </c>
      <c r="AB35" s="321" t="s">
        <v>32</v>
      </c>
      <c r="AC35" s="43"/>
      <c r="AD35" s="43"/>
      <c r="AE35" s="43"/>
      <c r="AF35" s="43"/>
      <c r="AG35" s="43"/>
      <c r="AN35" s="43"/>
      <c r="AO35" s="43"/>
      <c r="AP35" s="43"/>
      <c r="AQ35" s="43"/>
      <c r="AR35" s="43"/>
      <c r="AS35" s="43"/>
      <c r="AT35" s="43"/>
      <c r="AU35" s="43"/>
    </row>
    <row r="36" spans="1:47" ht="15" customHeight="1">
      <c r="A36" s="43"/>
      <c r="B36" s="333" t="s">
        <v>82</v>
      </c>
      <c r="C36" s="171" t="s">
        <v>103</v>
      </c>
      <c r="D36" s="171" t="s">
        <v>111</v>
      </c>
      <c r="E36" s="171" t="s">
        <v>119</v>
      </c>
      <c r="F36" s="171" t="s">
        <v>127</v>
      </c>
      <c r="G36" s="171" t="s">
        <v>134</v>
      </c>
      <c r="H36" s="171" t="s">
        <v>140</v>
      </c>
      <c r="I36" s="173">
        <v>77</v>
      </c>
      <c r="J36" s="171" t="s">
        <v>67</v>
      </c>
      <c r="K36" s="171" t="s">
        <v>60</v>
      </c>
      <c r="L36" s="171" t="s">
        <v>52</v>
      </c>
      <c r="M36" s="171" t="s">
        <v>43</v>
      </c>
      <c r="N36" s="321" t="s">
        <v>33</v>
      </c>
      <c r="O36" s="43"/>
      <c r="P36" s="332" t="s">
        <v>82</v>
      </c>
      <c r="Q36" s="171" t="s">
        <v>103</v>
      </c>
      <c r="R36" s="171" t="s">
        <v>111</v>
      </c>
      <c r="S36" s="171" t="s">
        <v>119</v>
      </c>
      <c r="T36" s="171" t="s">
        <v>127</v>
      </c>
      <c r="U36" s="171" t="s">
        <v>134</v>
      </c>
      <c r="V36" s="171" t="s">
        <v>140</v>
      </c>
      <c r="W36" s="169">
        <v>77</v>
      </c>
      <c r="X36" s="171" t="s">
        <v>67</v>
      </c>
      <c r="Y36" s="171" t="s">
        <v>60</v>
      </c>
      <c r="Z36" s="171" t="s">
        <v>52</v>
      </c>
      <c r="AA36" s="171" t="s">
        <v>43</v>
      </c>
      <c r="AB36" s="321" t="s">
        <v>33</v>
      </c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</row>
    <row r="37" spans="1:47" ht="15" customHeight="1">
      <c r="A37" s="43"/>
      <c r="B37" s="333" t="s">
        <v>83</v>
      </c>
      <c r="C37" s="171" t="s">
        <v>108</v>
      </c>
      <c r="D37" s="171" t="s">
        <v>112</v>
      </c>
      <c r="E37" s="171" t="s">
        <v>120</v>
      </c>
      <c r="F37" s="171" t="s">
        <v>128</v>
      </c>
      <c r="G37" s="171" t="s">
        <v>135</v>
      </c>
      <c r="H37" s="171" t="s">
        <v>141</v>
      </c>
      <c r="I37" s="171" t="s">
        <v>146</v>
      </c>
      <c r="J37" s="173">
        <v>66</v>
      </c>
      <c r="K37" s="171" t="s">
        <v>61</v>
      </c>
      <c r="L37" s="171" t="s">
        <v>53</v>
      </c>
      <c r="M37" s="171" t="s">
        <v>44</v>
      </c>
      <c r="N37" s="321" t="s">
        <v>34</v>
      </c>
      <c r="O37" s="43"/>
      <c r="P37" s="332" t="s">
        <v>83</v>
      </c>
      <c r="Q37" s="171" t="s">
        <v>108</v>
      </c>
      <c r="R37" s="171" t="s">
        <v>112</v>
      </c>
      <c r="S37" s="171" t="s">
        <v>120</v>
      </c>
      <c r="T37" s="171" t="s">
        <v>128</v>
      </c>
      <c r="U37" s="171" t="s">
        <v>135</v>
      </c>
      <c r="V37" s="171" t="s">
        <v>141</v>
      </c>
      <c r="W37" s="171" t="s">
        <v>146</v>
      </c>
      <c r="X37" s="173">
        <v>66</v>
      </c>
      <c r="Y37" s="171" t="s">
        <v>61</v>
      </c>
      <c r="Z37" s="171" t="s">
        <v>53</v>
      </c>
      <c r="AA37" s="171" t="s">
        <v>44</v>
      </c>
      <c r="AB37" s="321" t="s">
        <v>34</v>
      </c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</row>
    <row r="38" spans="1:47" ht="15" customHeight="1">
      <c r="A38" s="43"/>
      <c r="B38" s="324" t="s">
        <v>84</v>
      </c>
      <c r="C38" s="171" t="s">
        <v>104</v>
      </c>
      <c r="D38" s="171" t="s">
        <v>113</v>
      </c>
      <c r="E38" s="171" t="s">
        <v>121</v>
      </c>
      <c r="F38" s="171" t="s">
        <v>129</v>
      </c>
      <c r="G38" s="171" t="s">
        <v>136</v>
      </c>
      <c r="H38" s="171" t="s">
        <v>142</v>
      </c>
      <c r="I38" s="171" t="s">
        <v>147</v>
      </c>
      <c r="J38" s="171" t="s">
        <v>151</v>
      </c>
      <c r="K38" s="173">
        <v>55</v>
      </c>
      <c r="L38" s="171" t="s">
        <v>54</v>
      </c>
      <c r="M38" s="171" t="s">
        <v>45</v>
      </c>
      <c r="N38" s="321" t="s">
        <v>35</v>
      </c>
      <c r="O38" s="43"/>
      <c r="P38" s="332" t="s">
        <v>84</v>
      </c>
      <c r="Q38" s="171" t="s">
        <v>104</v>
      </c>
      <c r="R38" s="171" t="s">
        <v>113</v>
      </c>
      <c r="S38" s="171" t="s">
        <v>121</v>
      </c>
      <c r="T38" s="171" t="s">
        <v>129</v>
      </c>
      <c r="U38" s="171" t="s">
        <v>136</v>
      </c>
      <c r="V38" s="171" t="s">
        <v>142</v>
      </c>
      <c r="W38" s="171" t="s">
        <v>147</v>
      </c>
      <c r="X38" s="171" t="s">
        <v>151</v>
      </c>
      <c r="Y38" s="173">
        <v>55</v>
      </c>
      <c r="Z38" s="171" t="s">
        <v>54</v>
      </c>
      <c r="AA38" s="171" t="s">
        <v>45</v>
      </c>
      <c r="AB38" s="321" t="s">
        <v>35</v>
      </c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</row>
    <row r="39" spans="1:47" ht="15" customHeight="1">
      <c r="A39" s="43"/>
      <c r="B39" s="324" t="s">
        <v>85</v>
      </c>
      <c r="C39" s="171" t="s">
        <v>105</v>
      </c>
      <c r="D39" s="171" t="s">
        <v>114</v>
      </c>
      <c r="E39" s="171" t="s">
        <v>122</v>
      </c>
      <c r="F39" s="171" t="s">
        <v>130</v>
      </c>
      <c r="G39" s="171" t="s">
        <v>137</v>
      </c>
      <c r="H39" s="171" t="s">
        <v>143</v>
      </c>
      <c r="I39" s="171" t="s">
        <v>148</v>
      </c>
      <c r="J39" s="171" t="s">
        <v>152</v>
      </c>
      <c r="K39" s="171" t="s">
        <v>155</v>
      </c>
      <c r="L39" s="173">
        <v>44</v>
      </c>
      <c r="M39" s="171" t="s">
        <v>46</v>
      </c>
      <c r="N39" s="321" t="s">
        <v>36</v>
      </c>
      <c r="O39" s="43"/>
      <c r="P39" s="333" t="s">
        <v>85</v>
      </c>
      <c r="Q39" s="171" t="s">
        <v>105</v>
      </c>
      <c r="R39" s="171" t="s">
        <v>114</v>
      </c>
      <c r="S39" s="171" t="s">
        <v>122</v>
      </c>
      <c r="T39" s="171" t="s">
        <v>130</v>
      </c>
      <c r="U39" s="171" t="s">
        <v>137</v>
      </c>
      <c r="V39" s="171" t="s">
        <v>143</v>
      </c>
      <c r="W39" s="171" t="s">
        <v>148</v>
      </c>
      <c r="X39" s="171" t="s">
        <v>152</v>
      </c>
      <c r="Y39" s="171" t="s">
        <v>155</v>
      </c>
      <c r="Z39" s="173">
        <v>44</v>
      </c>
      <c r="AA39" s="171" t="s">
        <v>46</v>
      </c>
      <c r="AB39" s="321" t="s">
        <v>36</v>
      </c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</row>
    <row r="40" spans="1:47" ht="15" customHeight="1">
      <c r="A40" s="43"/>
      <c r="B40" s="324" t="s">
        <v>86</v>
      </c>
      <c r="C40" s="171" t="s">
        <v>106</v>
      </c>
      <c r="D40" s="171" t="s">
        <v>115</v>
      </c>
      <c r="E40" s="171" t="s">
        <v>123</v>
      </c>
      <c r="F40" s="171" t="s">
        <v>131</v>
      </c>
      <c r="G40" s="171" t="s">
        <v>138</v>
      </c>
      <c r="H40" s="171" t="s">
        <v>144</v>
      </c>
      <c r="I40" s="171" t="s">
        <v>149</v>
      </c>
      <c r="J40" s="171" t="s">
        <v>153</v>
      </c>
      <c r="K40" s="171" t="s">
        <v>156</v>
      </c>
      <c r="L40" s="171" t="s">
        <v>158</v>
      </c>
      <c r="M40" s="173">
        <v>33</v>
      </c>
      <c r="N40" s="321" t="s">
        <v>37</v>
      </c>
      <c r="O40" s="43"/>
      <c r="P40" s="333" t="s">
        <v>86</v>
      </c>
      <c r="Q40" s="171" t="s">
        <v>106</v>
      </c>
      <c r="R40" s="171" t="s">
        <v>115</v>
      </c>
      <c r="S40" s="171" t="s">
        <v>123</v>
      </c>
      <c r="T40" s="171" t="s">
        <v>131</v>
      </c>
      <c r="U40" s="171" t="s">
        <v>138</v>
      </c>
      <c r="V40" s="171" t="s">
        <v>144</v>
      </c>
      <c r="W40" s="171" t="s">
        <v>149</v>
      </c>
      <c r="X40" s="171" t="s">
        <v>153</v>
      </c>
      <c r="Y40" s="171" t="s">
        <v>156</v>
      </c>
      <c r="Z40" s="171" t="s">
        <v>158</v>
      </c>
      <c r="AA40" s="173">
        <v>33</v>
      </c>
      <c r="AB40" s="321" t="s">
        <v>37</v>
      </c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</row>
    <row r="41" spans="1:47" ht="15" customHeight="1" thickBot="1">
      <c r="A41" s="43"/>
      <c r="B41" s="325" t="s">
        <v>87</v>
      </c>
      <c r="C41" s="326" t="s">
        <v>107</v>
      </c>
      <c r="D41" s="326" t="s">
        <v>116</v>
      </c>
      <c r="E41" s="326" t="s">
        <v>124</v>
      </c>
      <c r="F41" s="326" t="s">
        <v>132</v>
      </c>
      <c r="G41" s="326" t="s">
        <v>139</v>
      </c>
      <c r="H41" s="326" t="s">
        <v>145</v>
      </c>
      <c r="I41" s="326" t="s">
        <v>150</v>
      </c>
      <c r="J41" s="326" t="s">
        <v>154</v>
      </c>
      <c r="K41" s="326" t="s">
        <v>157</v>
      </c>
      <c r="L41" s="326" t="s">
        <v>160</v>
      </c>
      <c r="M41" s="326" t="s">
        <v>159</v>
      </c>
      <c r="N41" s="335">
        <v>22</v>
      </c>
      <c r="O41" s="43"/>
      <c r="P41" s="334" t="s">
        <v>87</v>
      </c>
      <c r="Q41" s="326" t="s">
        <v>107</v>
      </c>
      <c r="R41" s="326" t="s">
        <v>116</v>
      </c>
      <c r="S41" s="326" t="s">
        <v>124</v>
      </c>
      <c r="T41" s="326" t="s">
        <v>132</v>
      </c>
      <c r="U41" s="326" t="s">
        <v>139</v>
      </c>
      <c r="V41" s="326" t="s">
        <v>145</v>
      </c>
      <c r="W41" s="326" t="s">
        <v>150</v>
      </c>
      <c r="X41" s="326" t="s">
        <v>154</v>
      </c>
      <c r="Y41" s="326" t="s">
        <v>157</v>
      </c>
      <c r="Z41" s="326" t="s">
        <v>160</v>
      </c>
      <c r="AA41" s="326" t="s">
        <v>159</v>
      </c>
      <c r="AB41" s="335">
        <v>22</v>
      </c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</row>
    <row r="42" spans="1:47" ht="15" customHeight="1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</row>
    <row r="43" spans="1:47" ht="15" customHeight="1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</row>
    <row r="44" spans="1:47" ht="15" customHeight="1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</row>
    <row r="45" spans="1:47" ht="15" customHeight="1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</row>
    <row r="46" spans="1:47" ht="15" customHeight="1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</row>
    <row r="47" spans="1:47" ht="15" customHeight="1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</row>
    <row r="48" spans="1:47" ht="15" customHeight="1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</row>
    <row r="49" spans="1:47" ht="15" customHeight="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</row>
    <row r="50" spans="1:47" ht="15" customHeight="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</row>
    <row r="51" spans="1:47" ht="15" customHeight="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</row>
    <row r="52" spans="1:47" ht="15" customHeight="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</row>
  </sheetData>
  <mergeCells count="12">
    <mergeCell ref="B28:N28"/>
    <mergeCell ref="P28:AB28"/>
    <mergeCell ref="B2:G3"/>
    <mergeCell ref="C5:N5"/>
    <mergeCell ref="C6:N6"/>
    <mergeCell ref="C7:N7"/>
    <mergeCell ref="C9:N9"/>
    <mergeCell ref="C8:N8"/>
    <mergeCell ref="C10:N10"/>
    <mergeCell ref="C11:N11"/>
    <mergeCell ref="B13:N13"/>
    <mergeCell ref="P13:AB1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VolResCO">
                <anchor moveWithCells="1" siz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6</xdr:col>
                    <xdr:colOff>38100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F114"/>
  <sheetViews>
    <sheetView showGridLines="0" showRowColHeaders="0" zoomScaleNormal="100" workbookViewId="0">
      <selection activeCell="R10" sqref="R10"/>
    </sheetView>
  </sheetViews>
  <sheetFormatPr defaultRowHeight="15"/>
  <cols>
    <col min="1" max="43" width="4.7109375" customWidth="1"/>
  </cols>
  <sheetData>
    <row r="1" spans="2:32" ht="15.75" thickBot="1"/>
    <row r="2" spans="2:32">
      <c r="B2" s="652"/>
      <c r="C2" s="653"/>
      <c r="D2" s="653"/>
      <c r="E2" s="653"/>
      <c r="F2" s="653"/>
      <c r="G2" s="654"/>
      <c r="P2" s="647" t="s">
        <v>279</v>
      </c>
      <c r="Q2" s="648"/>
      <c r="R2" s="648"/>
      <c r="S2" s="648"/>
      <c r="T2" s="648"/>
      <c r="U2" s="648"/>
      <c r="V2" s="648"/>
      <c r="W2" s="648"/>
      <c r="X2" s="648"/>
      <c r="Y2" s="648"/>
      <c r="Z2" s="648"/>
      <c r="AA2" s="648"/>
      <c r="AB2" s="650"/>
    </row>
    <row r="3" spans="2:32" ht="15.75" thickBot="1">
      <c r="B3" s="655"/>
      <c r="C3" s="656"/>
      <c r="D3" s="656"/>
      <c r="E3" s="656"/>
      <c r="F3" s="656"/>
      <c r="G3" s="657"/>
      <c r="P3" s="338" t="s">
        <v>0</v>
      </c>
      <c r="Q3" s="174" t="s">
        <v>5</v>
      </c>
      <c r="R3" s="102" t="s">
        <v>6</v>
      </c>
      <c r="S3" s="102" t="s">
        <v>7</v>
      </c>
      <c r="T3" s="102" t="s">
        <v>8</v>
      </c>
      <c r="U3" s="102" t="s">
        <v>9</v>
      </c>
      <c r="V3" s="102" t="s">
        <v>10</v>
      </c>
      <c r="W3" s="102" t="s">
        <v>11</v>
      </c>
      <c r="X3" s="102" t="s">
        <v>12</v>
      </c>
      <c r="Y3" s="102" t="s">
        <v>13</v>
      </c>
      <c r="Z3" s="102" t="s">
        <v>14</v>
      </c>
      <c r="AA3" s="102" t="s">
        <v>15</v>
      </c>
      <c r="AB3" s="317" t="s">
        <v>16</v>
      </c>
    </row>
    <row r="4" spans="2:32">
      <c r="P4" s="338" t="s">
        <v>76</v>
      </c>
      <c r="Q4" s="174" t="s">
        <v>1</v>
      </c>
      <c r="R4" s="102" t="s">
        <v>95</v>
      </c>
      <c r="S4" s="102" t="s">
        <v>94</v>
      </c>
      <c r="T4" s="102" t="s">
        <v>19</v>
      </c>
      <c r="U4" s="102" t="s">
        <v>20</v>
      </c>
      <c r="V4" s="102" t="s">
        <v>21</v>
      </c>
      <c r="W4" s="102" t="s">
        <v>22</v>
      </c>
      <c r="X4" s="102" t="s">
        <v>23</v>
      </c>
      <c r="Y4" s="102" t="s">
        <v>24</v>
      </c>
      <c r="Z4" s="102" t="s">
        <v>25</v>
      </c>
      <c r="AA4" s="102" t="s">
        <v>26</v>
      </c>
      <c r="AB4" s="317" t="s">
        <v>191</v>
      </c>
    </row>
    <row r="5" spans="2:32">
      <c r="P5" s="316" t="s">
        <v>77</v>
      </c>
      <c r="Q5" s="102" t="s">
        <v>17</v>
      </c>
      <c r="R5" s="174" t="s">
        <v>2</v>
      </c>
      <c r="S5" s="102" t="s">
        <v>97</v>
      </c>
      <c r="T5" s="102" t="s">
        <v>92</v>
      </c>
      <c r="U5" s="102" t="s">
        <v>96</v>
      </c>
      <c r="V5" s="102" t="s">
        <v>73</v>
      </c>
      <c r="W5" s="102" t="s">
        <v>68</v>
      </c>
      <c r="X5" s="102" t="s">
        <v>62</v>
      </c>
      <c r="Y5" s="102" t="s">
        <v>55</v>
      </c>
      <c r="Z5" s="102" t="s">
        <v>47</v>
      </c>
      <c r="AA5" s="102" t="s">
        <v>38</v>
      </c>
      <c r="AB5" s="317" t="s">
        <v>30</v>
      </c>
    </row>
    <row r="6" spans="2:32" ht="15.75" thickBot="1">
      <c r="P6" s="316" t="s">
        <v>78</v>
      </c>
      <c r="Q6" s="102" t="s">
        <v>18</v>
      </c>
      <c r="R6" s="102" t="s">
        <v>93</v>
      </c>
      <c r="S6" s="174" t="s">
        <v>3</v>
      </c>
      <c r="T6" s="102" t="s">
        <v>91</v>
      </c>
      <c r="U6" s="102" t="s">
        <v>90</v>
      </c>
      <c r="V6" s="102" t="s">
        <v>74</v>
      </c>
      <c r="W6" s="102" t="s">
        <v>69</v>
      </c>
      <c r="X6" s="102" t="s">
        <v>63</v>
      </c>
      <c r="Y6" s="102" t="s">
        <v>56</v>
      </c>
      <c r="Z6" s="102" t="s">
        <v>48</v>
      </c>
      <c r="AA6" s="102" t="s">
        <v>39</v>
      </c>
      <c r="AB6" s="317" t="s">
        <v>28</v>
      </c>
    </row>
    <row r="7" spans="2:32">
      <c r="B7" s="474"/>
      <c r="C7" s="706" t="s">
        <v>162</v>
      </c>
      <c r="D7" s="707"/>
      <c r="E7" s="707"/>
      <c r="F7" s="707"/>
      <c r="G7" s="707"/>
      <c r="H7" s="707"/>
      <c r="I7" s="707"/>
      <c r="J7" s="707"/>
      <c r="K7" s="707"/>
      <c r="L7" s="707"/>
      <c r="M7" s="707"/>
      <c r="N7" s="708"/>
      <c r="P7" s="316" t="s">
        <v>79</v>
      </c>
      <c r="Q7" s="102" t="s">
        <v>98</v>
      </c>
      <c r="R7" s="102" t="s">
        <v>99</v>
      </c>
      <c r="S7" s="102" t="s">
        <v>100</v>
      </c>
      <c r="T7" s="174" t="s">
        <v>4</v>
      </c>
      <c r="U7" s="102" t="s">
        <v>89</v>
      </c>
      <c r="V7" s="102" t="s">
        <v>75</v>
      </c>
      <c r="W7" s="102" t="s">
        <v>70</v>
      </c>
      <c r="X7" s="102" t="s">
        <v>64</v>
      </c>
      <c r="Y7" s="102" t="s">
        <v>57</v>
      </c>
      <c r="Z7" s="102" t="s">
        <v>49</v>
      </c>
      <c r="AA7" s="102" t="s">
        <v>40</v>
      </c>
      <c r="AB7" s="317" t="s">
        <v>29</v>
      </c>
    </row>
    <row r="8" spans="2:32">
      <c r="B8" s="475"/>
      <c r="C8" s="664" t="s">
        <v>282</v>
      </c>
      <c r="D8" s="665"/>
      <c r="E8" s="665"/>
      <c r="F8" s="665"/>
      <c r="G8" s="665"/>
      <c r="H8" s="665"/>
      <c r="I8" s="665"/>
      <c r="J8" s="665"/>
      <c r="K8" s="665"/>
      <c r="L8" s="665"/>
      <c r="M8" s="665"/>
      <c r="N8" s="666"/>
      <c r="P8" s="316" t="s">
        <v>80</v>
      </c>
      <c r="Q8" s="102" t="s">
        <v>101</v>
      </c>
      <c r="R8" s="102" t="s">
        <v>109</v>
      </c>
      <c r="S8" s="102" t="s">
        <v>117</v>
      </c>
      <c r="T8" s="102" t="s">
        <v>125</v>
      </c>
      <c r="U8" s="102">
        <v>99</v>
      </c>
      <c r="V8" s="102" t="s">
        <v>88</v>
      </c>
      <c r="W8" s="102" t="s">
        <v>71</v>
      </c>
      <c r="X8" s="102" t="s">
        <v>65</v>
      </c>
      <c r="Y8" s="102" t="s">
        <v>58</v>
      </c>
      <c r="Z8" s="102" t="s">
        <v>50</v>
      </c>
      <c r="AA8" s="102" t="s">
        <v>41</v>
      </c>
      <c r="AB8" s="317" t="s">
        <v>31</v>
      </c>
    </row>
    <row r="9" spans="2:32">
      <c r="B9" s="481"/>
      <c r="C9" s="664" t="s">
        <v>215</v>
      </c>
      <c r="D9" s="665"/>
      <c r="E9" s="665"/>
      <c r="F9" s="665"/>
      <c r="G9" s="665"/>
      <c r="H9" s="665"/>
      <c r="I9" s="665"/>
      <c r="J9" s="665"/>
      <c r="K9" s="665"/>
      <c r="L9" s="665"/>
      <c r="M9" s="665"/>
      <c r="N9" s="666"/>
      <c r="P9" s="316" t="s">
        <v>81</v>
      </c>
      <c r="Q9" s="102" t="s">
        <v>102</v>
      </c>
      <c r="R9" s="176" t="s">
        <v>110</v>
      </c>
      <c r="S9" s="102" t="s">
        <v>118</v>
      </c>
      <c r="T9" s="102" t="s">
        <v>126</v>
      </c>
      <c r="U9" s="102" t="s">
        <v>133</v>
      </c>
      <c r="V9" s="102">
        <v>88</v>
      </c>
      <c r="W9" s="102" t="s">
        <v>72</v>
      </c>
      <c r="X9" s="102" t="s">
        <v>66</v>
      </c>
      <c r="Y9" s="102" t="s">
        <v>59</v>
      </c>
      <c r="Z9" s="102" t="s">
        <v>51</v>
      </c>
      <c r="AA9" s="102" t="s">
        <v>42</v>
      </c>
      <c r="AB9" s="317" t="s">
        <v>32</v>
      </c>
    </row>
    <row r="10" spans="2:32" ht="15" customHeight="1">
      <c r="B10" s="477"/>
      <c r="C10" s="664" t="s">
        <v>213</v>
      </c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666"/>
      <c r="O10" s="43"/>
      <c r="P10" s="316" t="s">
        <v>82</v>
      </c>
      <c r="Q10" s="176" t="s">
        <v>103</v>
      </c>
      <c r="R10" s="102" t="s">
        <v>111</v>
      </c>
      <c r="S10" s="102" t="s">
        <v>119</v>
      </c>
      <c r="T10" s="102" t="s">
        <v>127</v>
      </c>
      <c r="U10" s="102" t="s">
        <v>134</v>
      </c>
      <c r="V10" s="102" t="s">
        <v>140</v>
      </c>
      <c r="W10" s="102">
        <v>77</v>
      </c>
      <c r="X10" s="102" t="s">
        <v>67</v>
      </c>
      <c r="Y10" s="102" t="s">
        <v>60</v>
      </c>
      <c r="Z10" s="102" t="s">
        <v>52</v>
      </c>
      <c r="AA10" s="102" t="s">
        <v>43</v>
      </c>
      <c r="AB10" s="317" t="s">
        <v>33</v>
      </c>
      <c r="AC10" s="43"/>
      <c r="AD10" s="43"/>
      <c r="AE10" s="43"/>
      <c r="AF10" s="43"/>
    </row>
    <row r="11" spans="2:32" ht="15" customHeight="1">
      <c r="B11" s="482"/>
      <c r="C11" s="664" t="s">
        <v>283</v>
      </c>
      <c r="D11" s="665"/>
      <c r="E11" s="665"/>
      <c r="F11" s="665"/>
      <c r="G11" s="665"/>
      <c r="H11" s="665"/>
      <c r="I11" s="665"/>
      <c r="J11" s="665"/>
      <c r="K11" s="665"/>
      <c r="L11" s="665"/>
      <c r="M11" s="665"/>
      <c r="N11" s="666"/>
      <c r="O11" s="43"/>
      <c r="P11" s="316" t="s">
        <v>83</v>
      </c>
      <c r="Q11" s="31" t="s">
        <v>108</v>
      </c>
      <c r="R11" s="31" t="s">
        <v>112</v>
      </c>
      <c r="S11" s="31" t="s">
        <v>120</v>
      </c>
      <c r="T11" s="31" t="s">
        <v>128</v>
      </c>
      <c r="U11" s="31" t="s">
        <v>135</v>
      </c>
      <c r="V11" s="31" t="s">
        <v>141</v>
      </c>
      <c r="W11" s="102" t="s">
        <v>146</v>
      </c>
      <c r="X11" s="102">
        <v>66</v>
      </c>
      <c r="Y11" s="102" t="s">
        <v>61</v>
      </c>
      <c r="Z11" s="102" t="s">
        <v>53</v>
      </c>
      <c r="AA11" s="102" t="s">
        <v>44</v>
      </c>
      <c r="AB11" s="317" t="s">
        <v>34</v>
      </c>
      <c r="AC11" s="43"/>
      <c r="AD11" s="43"/>
      <c r="AE11" s="43"/>
      <c r="AF11" s="43"/>
    </row>
    <row r="12" spans="2:32" ht="15" customHeight="1" thickBot="1">
      <c r="B12" s="483"/>
      <c r="C12" s="667" t="s">
        <v>284</v>
      </c>
      <c r="D12" s="668"/>
      <c r="E12" s="668"/>
      <c r="F12" s="668"/>
      <c r="G12" s="668"/>
      <c r="H12" s="668"/>
      <c r="I12" s="668"/>
      <c r="J12" s="668"/>
      <c r="K12" s="668"/>
      <c r="L12" s="668"/>
      <c r="M12" s="668"/>
      <c r="N12" s="669"/>
      <c r="O12" s="43"/>
      <c r="P12" s="339" t="s">
        <v>84</v>
      </c>
      <c r="Q12" s="31" t="s">
        <v>104</v>
      </c>
      <c r="R12" s="31" t="s">
        <v>113</v>
      </c>
      <c r="S12" s="31" t="s">
        <v>121</v>
      </c>
      <c r="T12" s="31" t="s">
        <v>129</v>
      </c>
      <c r="U12" s="31" t="s">
        <v>136</v>
      </c>
      <c r="V12" s="31" t="s">
        <v>142</v>
      </c>
      <c r="W12" s="31" t="s">
        <v>147</v>
      </c>
      <c r="X12" s="102" t="s">
        <v>151</v>
      </c>
      <c r="Y12" s="102">
        <v>55</v>
      </c>
      <c r="Z12" s="102" t="s">
        <v>54</v>
      </c>
      <c r="AA12" s="102" t="s">
        <v>45</v>
      </c>
      <c r="AB12" s="317" t="s">
        <v>35</v>
      </c>
      <c r="AC12" s="43"/>
      <c r="AD12" s="43"/>
      <c r="AE12" s="43"/>
      <c r="AF12" s="43"/>
    </row>
    <row r="13" spans="2:32" ht="15" customHeight="1">
      <c r="F13" s="213"/>
      <c r="G13" s="213"/>
      <c r="H13" s="213"/>
      <c r="I13" s="213"/>
      <c r="J13" s="213"/>
      <c r="K13" s="213"/>
      <c r="L13" s="213"/>
      <c r="M13" s="59"/>
      <c r="N13" s="59"/>
      <c r="O13" s="43"/>
      <c r="P13" s="316" t="s">
        <v>85</v>
      </c>
      <c r="Q13" s="31" t="s">
        <v>105</v>
      </c>
      <c r="R13" s="31" t="s">
        <v>114</v>
      </c>
      <c r="S13" s="31" t="s">
        <v>122</v>
      </c>
      <c r="T13" s="31" t="s">
        <v>130</v>
      </c>
      <c r="U13" s="31" t="s">
        <v>137</v>
      </c>
      <c r="V13" s="31" t="s">
        <v>143</v>
      </c>
      <c r="W13" s="31" t="s">
        <v>148</v>
      </c>
      <c r="X13" s="31" t="s">
        <v>152</v>
      </c>
      <c r="Y13" s="102" t="s">
        <v>155</v>
      </c>
      <c r="Z13" s="102">
        <v>44</v>
      </c>
      <c r="AA13" s="102" t="s">
        <v>46</v>
      </c>
      <c r="AB13" s="317" t="s">
        <v>36</v>
      </c>
      <c r="AC13" s="43"/>
      <c r="AD13" s="43"/>
      <c r="AE13" s="43"/>
      <c r="AF13" s="43"/>
    </row>
    <row r="14" spans="2:32" ht="15" customHeight="1">
      <c r="F14" s="213"/>
      <c r="G14" s="213"/>
      <c r="H14" s="213"/>
      <c r="I14" s="213"/>
      <c r="J14" s="213"/>
      <c r="K14" s="213"/>
      <c r="L14" s="213"/>
      <c r="M14" s="59"/>
      <c r="N14" s="59"/>
      <c r="O14" s="43"/>
      <c r="P14" s="316" t="s">
        <v>86</v>
      </c>
      <c r="Q14" s="31" t="s">
        <v>106</v>
      </c>
      <c r="R14" s="31" t="s">
        <v>115</v>
      </c>
      <c r="S14" s="31" t="s">
        <v>123</v>
      </c>
      <c r="T14" s="31" t="s">
        <v>131</v>
      </c>
      <c r="U14" s="31" t="s">
        <v>138</v>
      </c>
      <c r="V14" s="31" t="s">
        <v>144</v>
      </c>
      <c r="W14" s="31" t="s">
        <v>149</v>
      </c>
      <c r="X14" s="31" t="s">
        <v>153</v>
      </c>
      <c r="Y14" s="31" t="s">
        <v>156</v>
      </c>
      <c r="Z14" s="31" t="s">
        <v>158</v>
      </c>
      <c r="AA14" s="102">
        <v>33</v>
      </c>
      <c r="AB14" s="317" t="s">
        <v>37</v>
      </c>
      <c r="AC14" s="43"/>
      <c r="AD14" s="43"/>
      <c r="AE14" s="43"/>
      <c r="AF14" s="43"/>
    </row>
    <row r="15" spans="2:32" ht="15" customHeight="1" thickBot="1">
      <c r="F15" s="213"/>
      <c r="G15" s="213"/>
      <c r="H15" s="213"/>
      <c r="I15" s="213"/>
      <c r="J15" s="213"/>
      <c r="K15" s="213"/>
      <c r="L15" s="213"/>
      <c r="M15" s="59"/>
      <c r="N15" s="59"/>
      <c r="O15" s="43"/>
      <c r="P15" s="343" t="s">
        <v>87</v>
      </c>
      <c r="Q15" s="296" t="s">
        <v>107</v>
      </c>
      <c r="R15" s="296" t="s">
        <v>116</v>
      </c>
      <c r="S15" s="296" t="s">
        <v>124</v>
      </c>
      <c r="T15" s="296" t="s">
        <v>132</v>
      </c>
      <c r="U15" s="296" t="s">
        <v>139</v>
      </c>
      <c r="V15" s="296" t="s">
        <v>145</v>
      </c>
      <c r="W15" s="296" t="s">
        <v>150</v>
      </c>
      <c r="X15" s="296" t="s">
        <v>154</v>
      </c>
      <c r="Y15" s="296" t="s">
        <v>157</v>
      </c>
      <c r="Z15" s="296" t="s">
        <v>160</v>
      </c>
      <c r="AA15" s="296" t="s">
        <v>159</v>
      </c>
      <c r="AB15" s="318">
        <v>22</v>
      </c>
      <c r="AC15" s="43"/>
      <c r="AD15" s="43"/>
      <c r="AE15" s="43"/>
      <c r="AF15" s="43"/>
    </row>
    <row r="16" spans="2:32" ht="15" customHeight="1" thickBot="1">
      <c r="AC16" s="43"/>
      <c r="AD16" s="43"/>
      <c r="AE16" s="43"/>
    </row>
    <row r="17" spans="1:31" ht="15" customHeight="1">
      <c r="B17" s="647" t="s">
        <v>280</v>
      </c>
      <c r="C17" s="648"/>
      <c r="D17" s="648"/>
      <c r="E17" s="648"/>
      <c r="F17" s="648"/>
      <c r="G17" s="648"/>
      <c r="H17" s="648"/>
      <c r="I17" s="648"/>
      <c r="J17" s="648"/>
      <c r="K17" s="648"/>
      <c r="L17" s="648"/>
      <c r="M17" s="648"/>
      <c r="N17" s="650"/>
      <c r="P17" s="647" t="s">
        <v>281</v>
      </c>
      <c r="Q17" s="648"/>
      <c r="R17" s="648"/>
      <c r="S17" s="648"/>
      <c r="T17" s="648"/>
      <c r="U17" s="648"/>
      <c r="V17" s="648"/>
      <c r="W17" s="648"/>
      <c r="X17" s="648"/>
      <c r="Y17" s="648"/>
      <c r="Z17" s="648"/>
      <c r="AA17" s="648"/>
      <c r="AB17" s="650"/>
      <c r="AC17" s="43"/>
      <c r="AD17" s="43"/>
      <c r="AE17" s="43"/>
    </row>
    <row r="18" spans="1:31" ht="15" customHeight="1">
      <c r="B18" s="338" t="s">
        <v>0</v>
      </c>
      <c r="C18" s="174" t="s">
        <v>5</v>
      </c>
      <c r="D18" s="174" t="s">
        <v>6</v>
      </c>
      <c r="E18" s="100" t="s">
        <v>7</v>
      </c>
      <c r="F18" s="102" t="s">
        <v>8</v>
      </c>
      <c r="G18" s="102" t="s">
        <v>9</v>
      </c>
      <c r="H18" s="102" t="s">
        <v>10</v>
      </c>
      <c r="I18" s="102" t="s">
        <v>11</v>
      </c>
      <c r="J18" s="102" t="s">
        <v>12</v>
      </c>
      <c r="K18" s="102" t="s">
        <v>13</v>
      </c>
      <c r="L18" s="102" t="s">
        <v>14</v>
      </c>
      <c r="M18" s="102" t="s">
        <v>15</v>
      </c>
      <c r="N18" s="317" t="s">
        <v>16</v>
      </c>
      <c r="P18" s="338" t="s">
        <v>0</v>
      </c>
      <c r="Q18" s="174" t="s">
        <v>5</v>
      </c>
      <c r="R18" s="174" t="s">
        <v>6</v>
      </c>
      <c r="S18" s="174" t="s">
        <v>7</v>
      </c>
      <c r="T18" s="100" t="s">
        <v>8</v>
      </c>
      <c r="U18" s="102" t="s">
        <v>9</v>
      </c>
      <c r="V18" s="102" t="s">
        <v>10</v>
      </c>
      <c r="W18" s="102" t="s">
        <v>11</v>
      </c>
      <c r="X18" s="102" t="s">
        <v>12</v>
      </c>
      <c r="Y18" s="176" t="s">
        <v>13</v>
      </c>
      <c r="Z18" s="102" t="s">
        <v>14</v>
      </c>
      <c r="AA18" s="102" t="s">
        <v>15</v>
      </c>
      <c r="AB18" s="317" t="s">
        <v>16</v>
      </c>
      <c r="AC18" s="43"/>
      <c r="AD18" s="43"/>
      <c r="AE18" s="43"/>
    </row>
    <row r="19" spans="1:31" ht="15" customHeight="1">
      <c r="B19" s="338" t="s">
        <v>76</v>
      </c>
      <c r="C19" s="174" t="s">
        <v>1</v>
      </c>
      <c r="D19" s="102" t="s">
        <v>95</v>
      </c>
      <c r="E19" s="102" t="s">
        <v>94</v>
      </c>
      <c r="F19" s="102" t="s">
        <v>19</v>
      </c>
      <c r="G19" s="102" t="s">
        <v>20</v>
      </c>
      <c r="H19" s="102" t="s">
        <v>21</v>
      </c>
      <c r="I19" s="175" t="s">
        <v>22</v>
      </c>
      <c r="J19" s="175" t="s">
        <v>23</v>
      </c>
      <c r="K19" s="102" t="s">
        <v>24</v>
      </c>
      <c r="L19" s="102" t="s">
        <v>25</v>
      </c>
      <c r="M19" s="102" t="s">
        <v>26</v>
      </c>
      <c r="N19" s="317" t="s">
        <v>191</v>
      </c>
      <c r="P19" s="338" t="s">
        <v>76</v>
      </c>
      <c r="Q19" s="174" t="s">
        <v>1</v>
      </c>
      <c r="R19" s="100" t="s">
        <v>95</v>
      </c>
      <c r="S19" s="102" t="s">
        <v>94</v>
      </c>
      <c r="T19" s="102" t="s">
        <v>19</v>
      </c>
      <c r="U19" s="102" t="s">
        <v>20</v>
      </c>
      <c r="V19" s="102" t="s">
        <v>21</v>
      </c>
      <c r="W19" s="175" t="s">
        <v>22</v>
      </c>
      <c r="X19" s="175" t="s">
        <v>23</v>
      </c>
      <c r="Y19" s="102" t="s">
        <v>24</v>
      </c>
      <c r="Z19" s="102" t="s">
        <v>25</v>
      </c>
      <c r="AA19" s="102" t="s">
        <v>26</v>
      </c>
      <c r="AB19" s="317" t="s">
        <v>191</v>
      </c>
      <c r="AC19" s="43"/>
      <c r="AD19" s="43"/>
      <c r="AE19" s="43"/>
    </row>
    <row r="20" spans="1:31" ht="15" customHeight="1">
      <c r="A20" s="43"/>
      <c r="B20" s="338" t="s">
        <v>77</v>
      </c>
      <c r="C20" s="102" t="s">
        <v>17</v>
      </c>
      <c r="D20" s="174" t="s">
        <v>2</v>
      </c>
      <c r="E20" s="102" t="s">
        <v>97</v>
      </c>
      <c r="F20" s="102" t="s">
        <v>92</v>
      </c>
      <c r="G20" s="102" t="s">
        <v>96</v>
      </c>
      <c r="H20" s="102" t="s">
        <v>73</v>
      </c>
      <c r="I20" s="175" t="s">
        <v>68</v>
      </c>
      <c r="J20" s="175" t="s">
        <v>62</v>
      </c>
      <c r="K20" s="102" t="s">
        <v>55</v>
      </c>
      <c r="L20" s="102" t="s">
        <v>47</v>
      </c>
      <c r="M20" s="102" t="s">
        <v>38</v>
      </c>
      <c r="N20" s="317" t="s">
        <v>30</v>
      </c>
      <c r="P20" s="338" t="s">
        <v>77</v>
      </c>
      <c r="Q20" s="102" t="s">
        <v>17</v>
      </c>
      <c r="R20" s="174" t="s">
        <v>2</v>
      </c>
      <c r="S20" s="102" t="s">
        <v>97</v>
      </c>
      <c r="T20" s="102" t="s">
        <v>92</v>
      </c>
      <c r="U20" s="102" t="s">
        <v>96</v>
      </c>
      <c r="V20" s="102" t="s">
        <v>73</v>
      </c>
      <c r="W20" s="175" t="s">
        <v>68</v>
      </c>
      <c r="X20" s="175" t="s">
        <v>62</v>
      </c>
      <c r="Y20" s="102" t="s">
        <v>55</v>
      </c>
      <c r="Z20" s="102" t="s">
        <v>47</v>
      </c>
      <c r="AA20" s="102" t="s">
        <v>38</v>
      </c>
      <c r="AB20" s="317" t="s">
        <v>30</v>
      </c>
      <c r="AC20" s="43"/>
      <c r="AD20" s="43"/>
      <c r="AE20" s="43"/>
    </row>
    <row r="21" spans="1:31" ht="15" customHeight="1">
      <c r="A21" s="43"/>
      <c r="B21" s="316" t="s">
        <v>78</v>
      </c>
      <c r="C21" s="102" t="s">
        <v>18</v>
      </c>
      <c r="D21" s="102" t="s">
        <v>93</v>
      </c>
      <c r="E21" s="174" t="s">
        <v>3</v>
      </c>
      <c r="F21" s="102" t="s">
        <v>91</v>
      </c>
      <c r="G21" s="102" t="s">
        <v>90</v>
      </c>
      <c r="H21" s="102" t="s">
        <v>74</v>
      </c>
      <c r="I21" s="102" t="s">
        <v>69</v>
      </c>
      <c r="J21" s="102" t="s">
        <v>63</v>
      </c>
      <c r="K21" s="102" t="s">
        <v>56</v>
      </c>
      <c r="L21" s="102" t="s">
        <v>48</v>
      </c>
      <c r="M21" s="102" t="s">
        <v>39</v>
      </c>
      <c r="N21" s="317" t="s">
        <v>28</v>
      </c>
      <c r="P21" s="319" t="s">
        <v>78</v>
      </c>
      <c r="Q21" s="102" t="s">
        <v>18</v>
      </c>
      <c r="R21" s="102" t="s">
        <v>93</v>
      </c>
      <c r="S21" s="174" t="s">
        <v>3</v>
      </c>
      <c r="T21" s="102" t="s">
        <v>91</v>
      </c>
      <c r="U21" s="102" t="s">
        <v>90</v>
      </c>
      <c r="V21" s="102" t="s">
        <v>74</v>
      </c>
      <c r="W21" s="102" t="s">
        <v>69</v>
      </c>
      <c r="X21" s="102" t="s">
        <v>63</v>
      </c>
      <c r="Y21" s="102" t="s">
        <v>56</v>
      </c>
      <c r="Z21" s="102" t="s">
        <v>48</v>
      </c>
      <c r="AA21" s="102" t="s">
        <v>39</v>
      </c>
      <c r="AB21" s="317" t="s">
        <v>28</v>
      </c>
      <c r="AC21" s="43"/>
      <c r="AD21" s="43"/>
      <c r="AE21" s="43"/>
    </row>
    <row r="22" spans="1:31" ht="15" customHeight="1">
      <c r="A22" s="43"/>
      <c r="B22" s="316" t="s">
        <v>79</v>
      </c>
      <c r="C22" s="102" t="s">
        <v>98</v>
      </c>
      <c r="D22" s="102" t="s">
        <v>99</v>
      </c>
      <c r="E22" s="102" t="s">
        <v>100</v>
      </c>
      <c r="F22" s="174" t="s">
        <v>4</v>
      </c>
      <c r="G22" s="102" t="s">
        <v>89</v>
      </c>
      <c r="H22" s="102" t="s">
        <v>75</v>
      </c>
      <c r="I22" s="102" t="s">
        <v>70</v>
      </c>
      <c r="J22" s="102" t="s">
        <v>64</v>
      </c>
      <c r="K22" s="102" t="s">
        <v>57</v>
      </c>
      <c r="L22" s="102" t="s">
        <v>49</v>
      </c>
      <c r="M22" s="102" t="s">
        <v>40</v>
      </c>
      <c r="N22" s="317" t="s">
        <v>29</v>
      </c>
      <c r="P22" s="316" t="s">
        <v>79</v>
      </c>
      <c r="Q22" s="102" t="s">
        <v>98</v>
      </c>
      <c r="R22" s="102" t="s">
        <v>99</v>
      </c>
      <c r="S22" s="102" t="s">
        <v>100</v>
      </c>
      <c r="T22" s="174" t="s">
        <v>4</v>
      </c>
      <c r="U22" s="102" t="s">
        <v>89</v>
      </c>
      <c r="V22" s="102" t="s">
        <v>75</v>
      </c>
      <c r="W22" s="176" t="s">
        <v>70</v>
      </c>
      <c r="X22" s="102" t="s">
        <v>64</v>
      </c>
      <c r="Y22" s="102" t="s">
        <v>57</v>
      </c>
      <c r="Z22" s="102" t="s">
        <v>49</v>
      </c>
      <c r="AA22" s="102" t="s">
        <v>40</v>
      </c>
      <c r="AB22" s="317" t="s">
        <v>29</v>
      </c>
      <c r="AC22" s="43"/>
      <c r="AD22" s="43"/>
      <c r="AE22" s="43"/>
    </row>
    <row r="23" spans="1:31" ht="15" customHeight="1">
      <c r="A23" s="43"/>
      <c r="B23" s="316" t="s">
        <v>80</v>
      </c>
      <c r="C23" s="176" t="s">
        <v>101</v>
      </c>
      <c r="D23" s="176" t="s">
        <v>109</v>
      </c>
      <c r="E23" s="102" t="s">
        <v>117</v>
      </c>
      <c r="F23" s="102" t="s">
        <v>125</v>
      </c>
      <c r="G23" s="174">
        <v>99</v>
      </c>
      <c r="H23" s="102" t="s">
        <v>88</v>
      </c>
      <c r="I23" s="102" t="s">
        <v>71</v>
      </c>
      <c r="J23" s="176" t="s">
        <v>65</v>
      </c>
      <c r="K23" s="102" t="s">
        <v>58</v>
      </c>
      <c r="L23" s="102" t="s">
        <v>50</v>
      </c>
      <c r="M23" s="102" t="s">
        <v>41</v>
      </c>
      <c r="N23" s="317" t="s">
        <v>31</v>
      </c>
      <c r="P23" s="316" t="s">
        <v>80</v>
      </c>
      <c r="Q23" s="176" t="s">
        <v>101</v>
      </c>
      <c r="R23" s="176" t="s">
        <v>109</v>
      </c>
      <c r="S23" s="102" t="s">
        <v>117</v>
      </c>
      <c r="T23" s="102" t="s">
        <v>125</v>
      </c>
      <c r="U23" s="174">
        <v>99</v>
      </c>
      <c r="V23" s="102" t="s">
        <v>88</v>
      </c>
      <c r="W23" s="102" t="s">
        <v>71</v>
      </c>
      <c r="X23" s="176" t="s">
        <v>65</v>
      </c>
      <c r="Y23" s="102" t="s">
        <v>58</v>
      </c>
      <c r="Z23" s="102" t="s">
        <v>50</v>
      </c>
      <c r="AA23" s="102" t="s">
        <v>41</v>
      </c>
      <c r="AB23" s="317" t="s">
        <v>31</v>
      </c>
      <c r="AC23" s="43"/>
      <c r="AD23" s="43"/>
      <c r="AE23" s="43"/>
    </row>
    <row r="24" spans="1:31" ht="15" customHeight="1">
      <c r="A24" s="43"/>
      <c r="B24" s="339" t="s">
        <v>81</v>
      </c>
      <c r="C24" s="175" t="s">
        <v>102</v>
      </c>
      <c r="D24" s="175" t="s">
        <v>110</v>
      </c>
      <c r="E24" s="176" t="s">
        <v>118</v>
      </c>
      <c r="F24" s="102" t="s">
        <v>126</v>
      </c>
      <c r="G24" s="102" t="s">
        <v>133</v>
      </c>
      <c r="H24" s="174">
        <v>88</v>
      </c>
      <c r="I24" s="102" t="s">
        <v>72</v>
      </c>
      <c r="J24" s="176" t="s">
        <v>66</v>
      </c>
      <c r="K24" s="176" t="s">
        <v>59</v>
      </c>
      <c r="L24" s="102" t="s">
        <v>51</v>
      </c>
      <c r="M24" s="102" t="s">
        <v>42</v>
      </c>
      <c r="N24" s="317" t="s">
        <v>32</v>
      </c>
      <c r="P24" s="339" t="s">
        <v>81</v>
      </c>
      <c r="Q24" s="175" t="s">
        <v>102</v>
      </c>
      <c r="R24" s="175" t="s">
        <v>110</v>
      </c>
      <c r="S24" s="176" t="s">
        <v>118</v>
      </c>
      <c r="T24" s="102" t="s">
        <v>126</v>
      </c>
      <c r="U24" s="102" t="s">
        <v>133</v>
      </c>
      <c r="V24" s="174">
        <v>88</v>
      </c>
      <c r="W24" s="102" t="s">
        <v>72</v>
      </c>
      <c r="X24" s="176" t="s">
        <v>66</v>
      </c>
      <c r="Y24" s="176" t="s">
        <v>59</v>
      </c>
      <c r="Z24" s="102" t="s">
        <v>51</v>
      </c>
      <c r="AA24" s="102" t="s">
        <v>42</v>
      </c>
      <c r="AB24" s="317" t="s">
        <v>32</v>
      </c>
      <c r="AC24" s="43"/>
      <c r="AD24" s="43"/>
      <c r="AE24" s="43"/>
    </row>
    <row r="25" spans="1:31" ht="15" customHeight="1">
      <c r="A25" s="43"/>
      <c r="B25" s="340" t="s">
        <v>82</v>
      </c>
      <c r="C25" s="175" t="s">
        <v>103</v>
      </c>
      <c r="D25" s="175" t="s">
        <v>111</v>
      </c>
      <c r="E25" s="175" t="s">
        <v>119</v>
      </c>
      <c r="F25" s="102" t="s">
        <v>127</v>
      </c>
      <c r="G25" s="102" t="s">
        <v>134</v>
      </c>
      <c r="H25" s="102" t="s">
        <v>140</v>
      </c>
      <c r="I25" s="177">
        <v>77</v>
      </c>
      <c r="J25" s="102" t="s">
        <v>67</v>
      </c>
      <c r="K25" s="176" t="s">
        <v>60</v>
      </c>
      <c r="L25" s="176" t="s">
        <v>52</v>
      </c>
      <c r="M25" s="102" t="s">
        <v>43</v>
      </c>
      <c r="N25" s="317" t="s">
        <v>33</v>
      </c>
      <c r="P25" s="340" t="s">
        <v>82</v>
      </c>
      <c r="Q25" s="175" t="s">
        <v>103</v>
      </c>
      <c r="R25" s="175" t="s">
        <v>111</v>
      </c>
      <c r="S25" s="175" t="s">
        <v>119</v>
      </c>
      <c r="T25" s="102" t="s">
        <v>127</v>
      </c>
      <c r="U25" s="102" t="s">
        <v>134</v>
      </c>
      <c r="V25" s="102" t="s">
        <v>140</v>
      </c>
      <c r="W25" s="177">
        <v>77</v>
      </c>
      <c r="X25" s="102" t="s">
        <v>67</v>
      </c>
      <c r="Y25" s="176" t="s">
        <v>60</v>
      </c>
      <c r="Z25" s="176" t="s">
        <v>52</v>
      </c>
      <c r="AA25" s="102" t="s">
        <v>43</v>
      </c>
      <c r="AB25" s="317" t="s">
        <v>33</v>
      </c>
      <c r="AC25" s="43"/>
      <c r="AD25" s="43"/>
      <c r="AE25" s="43"/>
    </row>
    <row r="26" spans="1:31" ht="15" customHeight="1">
      <c r="A26" s="43"/>
      <c r="B26" s="340" t="s">
        <v>83</v>
      </c>
      <c r="C26" s="175" t="s">
        <v>108</v>
      </c>
      <c r="D26" s="175" t="s">
        <v>112</v>
      </c>
      <c r="E26" s="31" t="s">
        <v>120</v>
      </c>
      <c r="F26" s="31" t="s">
        <v>128</v>
      </c>
      <c r="G26" s="31" t="s">
        <v>135</v>
      </c>
      <c r="H26" s="102" t="s">
        <v>141</v>
      </c>
      <c r="I26" s="102" t="s">
        <v>146</v>
      </c>
      <c r="J26" s="177">
        <v>66</v>
      </c>
      <c r="K26" s="102" t="s">
        <v>61</v>
      </c>
      <c r="L26" s="176" t="s">
        <v>53</v>
      </c>
      <c r="M26" s="176" t="s">
        <v>44</v>
      </c>
      <c r="N26" s="317" t="s">
        <v>34</v>
      </c>
      <c r="P26" s="340" t="s">
        <v>83</v>
      </c>
      <c r="Q26" s="175" t="s">
        <v>108</v>
      </c>
      <c r="R26" s="175" t="s">
        <v>112</v>
      </c>
      <c r="S26" s="31" t="s">
        <v>120</v>
      </c>
      <c r="T26" s="31" t="s">
        <v>128</v>
      </c>
      <c r="U26" s="31" t="s">
        <v>135</v>
      </c>
      <c r="V26" s="102" t="s">
        <v>141</v>
      </c>
      <c r="W26" s="102" t="s">
        <v>146</v>
      </c>
      <c r="X26" s="177">
        <v>66</v>
      </c>
      <c r="Y26" s="102" t="s">
        <v>61</v>
      </c>
      <c r="Z26" s="176" t="s">
        <v>53</v>
      </c>
      <c r="AA26" s="176" t="s">
        <v>44</v>
      </c>
      <c r="AB26" s="317" t="s">
        <v>34</v>
      </c>
      <c r="AC26" s="43"/>
      <c r="AD26" s="43"/>
      <c r="AE26" s="43"/>
    </row>
    <row r="27" spans="1:31" ht="15" customHeight="1">
      <c r="A27" s="43"/>
      <c r="B27" s="340" t="s">
        <v>84</v>
      </c>
      <c r="C27" s="31" t="s">
        <v>104</v>
      </c>
      <c r="D27" s="31" t="s">
        <v>113</v>
      </c>
      <c r="E27" s="31" t="s">
        <v>121</v>
      </c>
      <c r="F27" s="31" t="s">
        <v>129</v>
      </c>
      <c r="G27" s="31" t="s">
        <v>136</v>
      </c>
      <c r="H27" s="31" t="s">
        <v>142</v>
      </c>
      <c r="I27" s="102" t="s">
        <v>147</v>
      </c>
      <c r="J27" s="102" t="s">
        <v>151</v>
      </c>
      <c r="K27" s="177">
        <v>55</v>
      </c>
      <c r="L27" s="102" t="s">
        <v>54</v>
      </c>
      <c r="M27" s="102" t="s">
        <v>45</v>
      </c>
      <c r="N27" s="317" t="s">
        <v>35</v>
      </c>
      <c r="P27" s="340" t="s">
        <v>84</v>
      </c>
      <c r="Q27" s="31" t="s">
        <v>104</v>
      </c>
      <c r="R27" s="31" t="s">
        <v>113</v>
      </c>
      <c r="S27" s="31" t="s">
        <v>121</v>
      </c>
      <c r="T27" s="31" t="s">
        <v>129</v>
      </c>
      <c r="U27" s="31" t="s">
        <v>136</v>
      </c>
      <c r="V27" s="31" t="s">
        <v>142</v>
      </c>
      <c r="W27" s="102" t="s">
        <v>147</v>
      </c>
      <c r="X27" s="102" t="s">
        <v>151</v>
      </c>
      <c r="Y27" s="177">
        <v>55</v>
      </c>
      <c r="Z27" s="102" t="s">
        <v>54</v>
      </c>
      <c r="AA27" s="102" t="s">
        <v>45</v>
      </c>
      <c r="AB27" s="317" t="s">
        <v>35</v>
      </c>
      <c r="AC27" s="43"/>
      <c r="AD27" s="43"/>
      <c r="AE27" s="43"/>
    </row>
    <row r="28" spans="1:31" ht="15" customHeight="1">
      <c r="A28" s="43"/>
      <c r="B28" s="340" t="s">
        <v>85</v>
      </c>
      <c r="C28" s="31" t="s">
        <v>105</v>
      </c>
      <c r="D28" s="31" t="s">
        <v>114</v>
      </c>
      <c r="E28" s="31" t="s">
        <v>122</v>
      </c>
      <c r="F28" s="31" t="s">
        <v>130</v>
      </c>
      <c r="G28" s="31" t="s">
        <v>137</v>
      </c>
      <c r="H28" s="31" t="s">
        <v>143</v>
      </c>
      <c r="I28" s="31" t="s">
        <v>148</v>
      </c>
      <c r="J28" s="31" t="s">
        <v>152</v>
      </c>
      <c r="K28" s="102" t="s">
        <v>155</v>
      </c>
      <c r="L28" s="177">
        <v>44</v>
      </c>
      <c r="M28" s="102" t="s">
        <v>46</v>
      </c>
      <c r="N28" s="317" t="s">
        <v>36</v>
      </c>
      <c r="P28" s="340" t="s">
        <v>85</v>
      </c>
      <c r="Q28" s="31" t="s">
        <v>105</v>
      </c>
      <c r="R28" s="31" t="s">
        <v>114</v>
      </c>
      <c r="S28" s="31" t="s">
        <v>122</v>
      </c>
      <c r="T28" s="31" t="s">
        <v>130</v>
      </c>
      <c r="U28" s="31" t="s">
        <v>137</v>
      </c>
      <c r="V28" s="31" t="s">
        <v>143</v>
      </c>
      <c r="W28" s="31" t="s">
        <v>148</v>
      </c>
      <c r="X28" s="31" t="s">
        <v>152</v>
      </c>
      <c r="Y28" s="102" t="s">
        <v>155</v>
      </c>
      <c r="Z28" s="177">
        <v>44</v>
      </c>
      <c r="AA28" s="102" t="s">
        <v>46</v>
      </c>
      <c r="AB28" s="317" t="s">
        <v>36</v>
      </c>
      <c r="AC28" s="43"/>
      <c r="AD28" s="43"/>
      <c r="AE28" s="43"/>
    </row>
    <row r="29" spans="1:31" ht="15" customHeight="1">
      <c r="A29" s="43"/>
      <c r="B29" s="340" t="s">
        <v>86</v>
      </c>
      <c r="C29" s="31" t="s">
        <v>106</v>
      </c>
      <c r="D29" s="31" t="s">
        <v>115</v>
      </c>
      <c r="E29" s="31" t="s">
        <v>123</v>
      </c>
      <c r="F29" s="31" t="s">
        <v>131</v>
      </c>
      <c r="G29" s="31" t="s">
        <v>138</v>
      </c>
      <c r="H29" s="31" t="s">
        <v>144</v>
      </c>
      <c r="I29" s="31" t="s">
        <v>149</v>
      </c>
      <c r="J29" s="31" t="s">
        <v>153</v>
      </c>
      <c r="K29" s="31" t="s">
        <v>156</v>
      </c>
      <c r="L29" s="31" t="s">
        <v>158</v>
      </c>
      <c r="M29" s="177">
        <v>33</v>
      </c>
      <c r="N29" s="317" t="s">
        <v>37</v>
      </c>
      <c r="P29" s="340" t="s">
        <v>86</v>
      </c>
      <c r="Q29" s="31" t="s">
        <v>106</v>
      </c>
      <c r="R29" s="31" t="s">
        <v>115</v>
      </c>
      <c r="S29" s="31" t="s">
        <v>123</v>
      </c>
      <c r="T29" s="31" t="s">
        <v>131</v>
      </c>
      <c r="U29" s="31" t="s">
        <v>138</v>
      </c>
      <c r="V29" s="31" t="s">
        <v>144</v>
      </c>
      <c r="W29" s="31" t="s">
        <v>149</v>
      </c>
      <c r="X29" s="31" t="s">
        <v>153</v>
      </c>
      <c r="Y29" s="31" t="s">
        <v>156</v>
      </c>
      <c r="Z29" s="31" t="s">
        <v>158</v>
      </c>
      <c r="AA29" s="177">
        <v>33</v>
      </c>
      <c r="AB29" s="317" t="s">
        <v>37</v>
      </c>
      <c r="AC29" s="43"/>
      <c r="AD29" s="43"/>
      <c r="AE29" s="43"/>
    </row>
    <row r="30" spans="1:31" ht="15" customHeight="1" thickBot="1">
      <c r="A30" s="43"/>
      <c r="B30" s="341" t="s">
        <v>87</v>
      </c>
      <c r="C30" s="296" t="s">
        <v>107</v>
      </c>
      <c r="D30" s="296" t="s">
        <v>116</v>
      </c>
      <c r="E30" s="296" t="s">
        <v>124</v>
      </c>
      <c r="F30" s="296" t="s">
        <v>132</v>
      </c>
      <c r="G30" s="296" t="s">
        <v>139</v>
      </c>
      <c r="H30" s="296" t="s">
        <v>145</v>
      </c>
      <c r="I30" s="296" t="s">
        <v>150</v>
      </c>
      <c r="J30" s="296" t="s">
        <v>154</v>
      </c>
      <c r="K30" s="296" t="s">
        <v>157</v>
      </c>
      <c r="L30" s="296" t="s">
        <v>160</v>
      </c>
      <c r="M30" s="296" t="s">
        <v>159</v>
      </c>
      <c r="N30" s="342">
        <v>22</v>
      </c>
      <c r="P30" s="341" t="s">
        <v>87</v>
      </c>
      <c r="Q30" s="296" t="s">
        <v>107</v>
      </c>
      <c r="R30" s="296" t="s">
        <v>116</v>
      </c>
      <c r="S30" s="296" t="s">
        <v>124</v>
      </c>
      <c r="T30" s="296" t="s">
        <v>132</v>
      </c>
      <c r="U30" s="296" t="s">
        <v>139</v>
      </c>
      <c r="V30" s="296" t="s">
        <v>145</v>
      </c>
      <c r="W30" s="296" t="s">
        <v>150</v>
      </c>
      <c r="X30" s="296" t="s">
        <v>154</v>
      </c>
      <c r="Y30" s="296" t="s">
        <v>157</v>
      </c>
      <c r="Z30" s="296" t="s">
        <v>160</v>
      </c>
      <c r="AA30" s="296" t="s">
        <v>159</v>
      </c>
      <c r="AB30" s="342">
        <v>22</v>
      </c>
      <c r="AC30" s="43"/>
      <c r="AD30" s="43"/>
      <c r="AE30" s="43"/>
    </row>
    <row r="31" spans="1:31" ht="15" customHeight="1">
      <c r="A31" s="43"/>
      <c r="AC31" s="43"/>
      <c r="AD31" s="43"/>
      <c r="AE31" s="43"/>
    </row>
    <row r="32" spans="1:31" ht="15" customHeight="1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1:31" ht="15" customHeight="1">
      <c r="A33" s="43"/>
      <c r="AD33" s="43"/>
      <c r="AE33" s="43"/>
    </row>
    <row r="34" spans="1:31" ht="15" customHeight="1">
      <c r="A34" s="43"/>
      <c r="AD34" s="43"/>
      <c r="AE34" s="43"/>
    </row>
    <row r="35" spans="1:31" ht="15" customHeight="1">
      <c r="A35" s="43"/>
      <c r="AD35" s="43"/>
      <c r="AE35" s="43"/>
    </row>
    <row r="36" spans="1:31" ht="15" customHeight="1">
      <c r="A36" s="43"/>
      <c r="AD36" s="43"/>
      <c r="AE36" s="43"/>
    </row>
    <row r="37" spans="1:31" ht="15" customHeight="1">
      <c r="A37" s="43"/>
      <c r="AD37" s="43"/>
      <c r="AE37" s="43"/>
    </row>
    <row r="38" spans="1:31" ht="15" customHeight="1">
      <c r="A38" s="43"/>
      <c r="AD38" s="43"/>
      <c r="AE38" s="43"/>
    </row>
    <row r="39" spans="1:31" ht="15" customHeight="1">
      <c r="A39" s="43"/>
      <c r="AA39" s="43"/>
      <c r="AB39" s="43"/>
      <c r="AC39" s="43"/>
      <c r="AD39" s="43"/>
      <c r="AE39" s="43"/>
    </row>
    <row r="40" spans="1:31" ht="15" customHeight="1"/>
    <row r="41" spans="1:31" ht="15" customHeight="1"/>
    <row r="42" spans="1:31" ht="15" customHeight="1"/>
    <row r="43" spans="1:31" ht="15" customHeight="1"/>
    <row r="44" spans="1:31" ht="15" customHeight="1"/>
    <row r="45" spans="1:31" ht="15" customHeight="1"/>
    <row r="46" spans="1:31" ht="15" customHeight="1"/>
    <row r="47" spans="1:31" ht="15" customHeight="1"/>
    <row r="48" spans="1:31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</sheetData>
  <mergeCells count="10">
    <mergeCell ref="B2:G3"/>
    <mergeCell ref="P17:AB17"/>
    <mergeCell ref="P2:AB2"/>
    <mergeCell ref="B17:N17"/>
    <mergeCell ref="C7:N7"/>
    <mergeCell ref="C8:N8"/>
    <mergeCell ref="C9:N9"/>
    <mergeCell ref="C10:N10"/>
    <mergeCell ref="C11:N11"/>
    <mergeCell ref="C12:N1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VolResBU">
                <anchor moveWithCells="1" sizeWithCells="1">
                  <from>
                    <xdr:col>3</xdr:col>
                    <xdr:colOff>200025</xdr:colOff>
                    <xdr:row>1</xdr:row>
                    <xdr:rowOff>57150</xdr:rowOff>
                  </from>
                  <to>
                    <xdr:col>5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P45"/>
  <sheetViews>
    <sheetView showGridLines="0" zoomScale="90" zoomScaleNormal="90" workbookViewId="0">
      <selection activeCell="AE36" sqref="AE36:AP36"/>
    </sheetView>
  </sheetViews>
  <sheetFormatPr defaultRowHeight="15"/>
  <cols>
    <col min="1" max="56" width="4.7109375" customWidth="1"/>
  </cols>
  <sheetData>
    <row r="1" spans="2:42" ht="15.75" thickBot="1"/>
    <row r="2" spans="2:42">
      <c r="B2" s="722"/>
      <c r="C2" s="723"/>
      <c r="D2" s="723"/>
      <c r="E2" s="723"/>
      <c r="F2" s="723"/>
      <c r="G2" s="724"/>
    </row>
    <row r="3" spans="2:42" ht="15.75" thickBot="1">
      <c r="B3" s="725"/>
      <c r="C3" s="726"/>
      <c r="D3" s="726"/>
      <c r="E3" s="726"/>
      <c r="F3" s="726"/>
      <c r="G3" s="727"/>
    </row>
    <row r="4" spans="2:42" ht="15" customHeight="1" thickBot="1">
      <c r="P4" s="431"/>
      <c r="Q4" s="697" t="s">
        <v>251</v>
      </c>
      <c r="R4" s="698"/>
      <c r="S4" s="698"/>
      <c r="T4" s="698"/>
      <c r="U4" s="698"/>
      <c r="V4" s="698"/>
      <c r="W4" s="698"/>
      <c r="X4" s="698"/>
      <c r="Y4" s="698"/>
      <c r="Z4" s="698"/>
      <c r="AA4" s="698"/>
      <c r="AB4" s="699"/>
    </row>
    <row r="5" spans="2:42" ht="15" customHeight="1">
      <c r="B5" s="428"/>
      <c r="C5" s="697" t="s">
        <v>250</v>
      </c>
      <c r="D5" s="698"/>
      <c r="E5" s="698"/>
      <c r="F5" s="698"/>
      <c r="G5" s="698"/>
      <c r="H5" s="698"/>
      <c r="I5" s="698"/>
      <c r="J5" s="698"/>
      <c r="K5" s="698"/>
      <c r="L5" s="698"/>
      <c r="M5" s="698"/>
      <c r="N5" s="699"/>
      <c r="P5" s="432"/>
      <c r="Q5" s="710" t="s">
        <v>253</v>
      </c>
      <c r="R5" s="711"/>
      <c r="S5" s="711"/>
      <c r="T5" s="711"/>
      <c r="U5" s="711"/>
      <c r="V5" s="711"/>
      <c r="W5" s="711"/>
      <c r="X5" s="711"/>
      <c r="Y5" s="711"/>
      <c r="Z5" s="711"/>
      <c r="AA5" s="711"/>
      <c r="AB5" s="712"/>
    </row>
    <row r="6" spans="2:42" ht="15" customHeight="1">
      <c r="B6" s="429"/>
      <c r="C6" s="710" t="s">
        <v>251</v>
      </c>
      <c r="D6" s="711"/>
      <c r="E6" s="711"/>
      <c r="F6" s="711"/>
      <c r="G6" s="711"/>
      <c r="H6" s="711"/>
      <c r="I6" s="711"/>
      <c r="J6" s="711"/>
      <c r="K6" s="711"/>
      <c r="L6" s="711"/>
      <c r="M6" s="711"/>
      <c r="N6" s="712"/>
      <c r="P6" s="433"/>
      <c r="Q6" s="713" t="s">
        <v>250</v>
      </c>
      <c r="R6" s="714"/>
      <c r="S6" s="714"/>
      <c r="T6" s="714"/>
      <c r="U6" s="714"/>
      <c r="V6" s="714"/>
      <c r="W6" s="714"/>
      <c r="X6" s="714"/>
      <c r="Y6" s="714"/>
      <c r="Z6" s="714"/>
      <c r="AA6" s="714"/>
      <c r="AB6" s="715"/>
    </row>
    <row r="7" spans="2:42" ht="15" customHeight="1" thickBot="1">
      <c r="B7" s="430"/>
      <c r="C7" s="716" t="s">
        <v>255</v>
      </c>
      <c r="D7" s="717"/>
      <c r="E7" s="717"/>
      <c r="F7" s="717"/>
      <c r="G7" s="717"/>
      <c r="H7" s="717"/>
      <c r="I7" s="717"/>
      <c r="J7" s="717"/>
      <c r="K7" s="717"/>
      <c r="L7" s="717"/>
      <c r="M7" s="717"/>
      <c r="N7" s="718"/>
      <c r="P7" s="430"/>
      <c r="Q7" s="716" t="s">
        <v>258</v>
      </c>
      <c r="R7" s="717"/>
      <c r="S7" s="717"/>
      <c r="T7" s="717"/>
      <c r="U7" s="717"/>
      <c r="V7" s="717"/>
      <c r="W7" s="717"/>
      <c r="X7" s="717"/>
      <c r="Y7" s="717"/>
      <c r="Z7" s="717"/>
      <c r="AA7" s="717"/>
      <c r="AB7" s="718"/>
    </row>
    <row r="8" spans="2:42" ht="15" customHeight="1" thickBot="1"/>
    <row r="9" spans="2:42" ht="15" customHeight="1">
      <c r="B9" s="647" t="s">
        <v>246</v>
      </c>
      <c r="C9" s="648"/>
      <c r="D9" s="648"/>
      <c r="E9" s="648"/>
      <c r="F9" s="648"/>
      <c r="G9" s="648"/>
      <c r="H9" s="648"/>
      <c r="I9" s="648"/>
      <c r="J9" s="648"/>
      <c r="K9" s="648"/>
      <c r="L9" s="648"/>
      <c r="M9" s="648"/>
      <c r="N9" s="650"/>
      <c r="O9" s="147"/>
      <c r="P9" s="647" t="s">
        <v>247</v>
      </c>
      <c r="Q9" s="648"/>
      <c r="R9" s="648"/>
      <c r="S9" s="648"/>
      <c r="T9" s="648"/>
      <c r="U9" s="648"/>
      <c r="V9" s="648"/>
      <c r="W9" s="648"/>
      <c r="X9" s="648"/>
      <c r="Y9" s="648"/>
      <c r="Z9" s="648"/>
      <c r="AA9" s="648"/>
      <c r="AB9" s="649"/>
      <c r="AD9" s="428"/>
      <c r="AE9" s="697" t="s">
        <v>250</v>
      </c>
      <c r="AF9" s="698"/>
      <c r="AG9" s="698"/>
      <c r="AH9" s="698"/>
      <c r="AI9" s="698"/>
      <c r="AJ9" s="698"/>
      <c r="AK9" s="698"/>
      <c r="AL9" s="698"/>
      <c r="AM9" s="698"/>
      <c r="AN9" s="698"/>
      <c r="AO9" s="698"/>
      <c r="AP9" s="699"/>
    </row>
    <row r="10" spans="2:42" ht="15" customHeight="1">
      <c r="B10" s="353" t="s">
        <v>0</v>
      </c>
      <c r="C10" s="148" t="s">
        <v>5</v>
      </c>
      <c r="D10" s="118" t="s">
        <v>6</v>
      </c>
      <c r="E10" s="117" t="s">
        <v>7</v>
      </c>
      <c r="F10" s="117" t="s">
        <v>8</v>
      </c>
      <c r="G10" s="117" t="s">
        <v>9</v>
      </c>
      <c r="H10" s="48" t="s">
        <v>10</v>
      </c>
      <c r="I10" s="48" t="s">
        <v>11</v>
      </c>
      <c r="J10" s="48" t="s">
        <v>12</v>
      </c>
      <c r="K10" s="48" t="s">
        <v>13</v>
      </c>
      <c r="L10" s="48" t="s">
        <v>14</v>
      </c>
      <c r="M10" s="48" t="s">
        <v>15</v>
      </c>
      <c r="N10" s="246" t="s">
        <v>16</v>
      </c>
      <c r="O10" s="149"/>
      <c r="P10" s="353" t="s">
        <v>0</v>
      </c>
      <c r="Q10" s="148" t="s">
        <v>5</v>
      </c>
      <c r="R10" s="150" t="s">
        <v>6</v>
      </c>
      <c r="S10" s="151" t="s">
        <v>7</v>
      </c>
      <c r="T10" s="151" t="s">
        <v>8</v>
      </c>
      <c r="U10" s="151" t="s">
        <v>9</v>
      </c>
      <c r="V10" s="131" t="s">
        <v>10</v>
      </c>
      <c r="W10" s="131" t="s">
        <v>11</v>
      </c>
      <c r="X10" s="48" t="s">
        <v>12</v>
      </c>
      <c r="Y10" s="48" t="s">
        <v>13</v>
      </c>
      <c r="Z10" s="48" t="s">
        <v>14</v>
      </c>
      <c r="AA10" s="48" t="s">
        <v>15</v>
      </c>
      <c r="AB10" s="246" t="s">
        <v>16</v>
      </c>
      <c r="AD10" s="429"/>
      <c r="AE10" s="710" t="s">
        <v>251</v>
      </c>
      <c r="AF10" s="711"/>
      <c r="AG10" s="711"/>
      <c r="AH10" s="711"/>
      <c r="AI10" s="711"/>
      <c r="AJ10" s="711"/>
      <c r="AK10" s="711"/>
      <c r="AL10" s="711"/>
      <c r="AM10" s="711"/>
      <c r="AN10" s="711"/>
      <c r="AO10" s="711"/>
      <c r="AP10" s="712"/>
    </row>
    <row r="11" spans="2:42" ht="15" customHeight="1" thickBot="1">
      <c r="B11" s="242" t="s">
        <v>76</v>
      </c>
      <c r="C11" s="148" t="s">
        <v>1</v>
      </c>
      <c r="D11" s="117" t="s">
        <v>95</v>
      </c>
      <c r="E11" s="117" t="s">
        <v>94</v>
      </c>
      <c r="F11" s="117" t="s">
        <v>19</v>
      </c>
      <c r="G11" s="48" t="s">
        <v>20</v>
      </c>
      <c r="H11" s="48" t="s">
        <v>21</v>
      </c>
      <c r="I11" s="48" t="s">
        <v>22</v>
      </c>
      <c r="J11" s="48" t="s">
        <v>23</v>
      </c>
      <c r="K11" s="48" t="s">
        <v>24</v>
      </c>
      <c r="L11" s="48" t="s">
        <v>25</v>
      </c>
      <c r="M11" s="48" t="s">
        <v>26</v>
      </c>
      <c r="N11" s="246" t="s">
        <v>191</v>
      </c>
      <c r="O11" s="149"/>
      <c r="P11" s="242" t="s">
        <v>76</v>
      </c>
      <c r="Q11" s="148" t="s">
        <v>1</v>
      </c>
      <c r="R11" s="151" t="s">
        <v>95</v>
      </c>
      <c r="S11" s="151" t="s">
        <v>94</v>
      </c>
      <c r="T11" s="151" t="s">
        <v>19</v>
      </c>
      <c r="U11" s="131" t="s">
        <v>20</v>
      </c>
      <c r="V11" s="131" t="s">
        <v>21</v>
      </c>
      <c r="W11" s="131" t="s">
        <v>22</v>
      </c>
      <c r="X11" s="48" t="s">
        <v>23</v>
      </c>
      <c r="Y11" s="48" t="s">
        <v>24</v>
      </c>
      <c r="Z11" s="48" t="s">
        <v>25</v>
      </c>
      <c r="AA11" s="48" t="s">
        <v>26</v>
      </c>
      <c r="AB11" s="246" t="s">
        <v>191</v>
      </c>
      <c r="AD11" s="430"/>
      <c r="AE11" s="716" t="s">
        <v>255</v>
      </c>
      <c r="AF11" s="717"/>
      <c r="AG11" s="717"/>
      <c r="AH11" s="717"/>
      <c r="AI11" s="717"/>
      <c r="AJ11" s="717"/>
      <c r="AK11" s="717"/>
      <c r="AL11" s="717"/>
      <c r="AM11" s="717"/>
      <c r="AN11" s="717"/>
      <c r="AO11" s="717"/>
      <c r="AP11" s="718"/>
    </row>
    <row r="12" spans="2:42" ht="15" customHeight="1" thickBot="1">
      <c r="B12" s="243" t="s">
        <v>77</v>
      </c>
      <c r="C12" s="118" t="s">
        <v>17</v>
      </c>
      <c r="D12" s="148" t="s">
        <v>2</v>
      </c>
      <c r="E12" s="151" t="s">
        <v>97</v>
      </c>
      <c r="F12" s="151" t="s">
        <v>92</v>
      </c>
      <c r="G12" s="48" t="s">
        <v>96</v>
      </c>
      <c r="H12" s="48" t="s">
        <v>73</v>
      </c>
      <c r="I12" s="48" t="s">
        <v>68</v>
      </c>
      <c r="J12" s="48" t="s">
        <v>62</v>
      </c>
      <c r="K12" s="48" t="s">
        <v>55</v>
      </c>
      <c r="L12" s="48" t="s">
        <v>47</v>
      </c>
      <c r="M12" s="48" t="s">
        <v>38</v>
      </c>
      <c r="N12" s="246" t="s">
        <v>30</v>
      </c>
      <c r="O12" s="149"/>
      <c r="P12" s="243" t="s">
        <v>77</v>
      </c>
      <c r="Q12" s="118" t="s">
        <v>17</v>
      </c>
      <c r="R12" s="148" t="s">
        <v>2</v>
      </c>
      <c r="S12" s="151" t="s">
        <v>97</v>
      </c>
      <c r="T12" s="151" t="s">
        <v>92</v>
      </c>
      <c r="U12" s="131" t="s">
        <v>96</v>
      </c>
      <c r="V12" s="48" t="s">
        <v>73</v>
      </c>
      <c r="W12" s="48" t="s">
        <v>68</v>
      </c>
      <c r="X12" s="48" t="s">
        <v>62</v>
      </c>
      <c r="Y12" s="48" t="s">
        <v>55</v>
      </c>
      <c r="Z12" s="48" t="s">
        <v>47</v>
      </c>
      <c r="AA12" s="48" t="s">
        <v>38</v>
      </c>
      <c r="AB12" s="246" t="s">
        <v>30</v>
      </c>
      <c r="AD12" s="626"/>
      <c r="AE12" s="728"/>
      <c r="AF12" s="729"/>
      <c r="AG12" s="729"/>
      <c r="AH12" s="729"/>
      <c r="AI12" s="729"/>
      <c r="AJ12" s="729"/>
      <c r="AK12" s="729"/>
      <c r="AL12" s="729"/>
      <c r="AM12" s="729"/>
      <c r="AN12" s="729"/>
      <c r="AO12" s="729"/>
      <c r="AP12" s="730"/>
    </row>
    <row r="13" spans="2:42" ht="15" customHeight="1">
      <c r="B13" s="247" t="s">
        <v>78</v>
      </c>
      <c r="C13" s="48" t="s">
        <v>18</v>
      </c>
      <c r="D13" s="48" t="s">
        <v>93</v>
      </c>
      <c r="E13" s="148" t="s">
        <v>3</v>
      </c>
      <c r="F13" s="151" t="s">
        <v>91</v>
      </c>
      <c r="G13" s="48" t="s">
        <v>90</v>
      </c>
      <c r="H13" s="48" t="s">
        <v>74</v>
      </c>
      <c r="I13" s="48" t="s">
        <v>69</v>
      </c>
      <c r="J13" s="48" t="s">
        <v>63</v>
      </c>
      <c r="K13" s="48" t="s">
        <v>56</v>
      </c>
      <c r="L13" s="48" t="s">
        <v>48</v>
      </c>
      <c r="M13" s="30" t="s">
        <v>39</v>
      </c>
      <c r="N13" s="395" t="s">
        <v>28</v>
      </c>
      <c r="O13" s="149"/>
      <c r="P13" s="247" t="s">
        <v>78</v>
      </c>
      <c r="Q13" s="48" t="s">
        <v>18</v>
      </c>
      <c r="R13" s="48" t="s">
        <v>93</v>
      </c>
      <c r="S13" s="148" t="s">
        <v>3</v>
      </c>
      <c r="T13" s="151" t="s">
        <v>91</v>
      </c>
      <c r="U13" s="48" t="s">
        <v>90</v>
      </c>
      <c r="V13" s="48" t="s">
        <v>74</v>
      </c>
      <c r="W13" s="156" t="s">
        <v>69</v>
      </c>
      <c r="X13" s="156" t="s">
        <v>63</v>
      </c>
      <c r="Y13" s="156" t="s">
        <v>56</v>
      </c>
      <c r="Z13" s="156" t="s">
        <v>48</v>
      </c>
      <c r="AA13" s="156" t="s">
        <v>39</v>
      </c>
      <c r="AB13" s="436" t="s">
        <v>28</v>
      </c>
      <c r="AD13" s="431"/>
      <c r="AE13" s="697" t="s">
        <v>251</v>
      </c>
      <c r="AF13" s="698"/>
      <c r="AG13" s="698"/>
      <c r="AH13" s="698"/>
      <c r="AI13" s="698"/>
      <c r="AJ13" s="698"/>
      <c r="AK13" s="698"/>
      <c r="AL13" s="698"/>
      <c r="AM13" s="698"/>
      <c r="AN13" s="698"/>
      <c r="AO13" s="698"/>
      <c r="AP13" s="699"/>
    </row>
    <row r="14" spans="2:42" ht="15" customHeight="1">
      <c r="B14" s="414" t="s">
        <v>79</v>
      </c>
      <c r="C14" s="48" t="s">
        <v>98</v>
      </c>
      <c r="D14" s="48" t="s">
        <v>99</v>
      </c>
      <c r="E14" s="48" t="s">
        <v>100</v>
      </c>
      <c r="F14" s="159" t="s">
        <v>4</v>
      </c>
      <c r="G14" s="48" t="s">
        <v>89</v>
      </c>
      <c r="H14" s="48" t="s">
        <v>75</v>
      </c>
      <c r="I14" s="48" t="s">
        <v>70</v>
      </c>
      <c r="J14" s="48" t="s">
        <v>64</v>
      </c>
      <c r="K14" s="48" t="s">
        <v>57</v>
      </c>
      <c r="L14" s="30" t="s">
        <v>49</v>
      </c>
      <c r="M14" s="30" t="s">
        <v>40</v>
      </c>
      <c r="N14" s="395" t="s">
        <v>29</v>
      </c>
      <c r="O14" s="149"/>
      <c r="P14" s="414" t="s">
        <v>79</v>
      </c>
      <c r="Q14" s="48" t="s">
        <v>98</v>
      </c>
      <c r="R14" s="48" t="s">
        <v>99</v>
      </c>
      <c r="S14" s="48" t="s">
        <v>100</v>
      </c>
      <c r="T14" s="159" t="s">
        <v>4</v>
      </c>
      <c r="U14" s="48" t="s">
        <v>89</v>
      </c>
      <c r="V14" s="48" t="s">
        <v>75</v>
      </c>
      <c r="W14" s="156" t="s">
        <v>70</v>
      </c>
      <c r="X14" s="156" t="s">
        <v>64</v>
      </c>
      <c r="Y14" s="156" t="s">
        <v>57</v>
      </c>
      <c r="Z14" s="156" t="s">
        <v>49</v>
      </c>
      <c r="AA14" s="30" t="s">
        <v>40</v>
      </c>
      <c r="AB14" s="395" t="s">
        <v>29</v>
      </c>
      <c r="AD14" s="432"/>
      <c r="AE14" s="710" t="s">
        <v>253</v>
      </c>
      <c r="AF14" s="711"/>
      <c r="AG14" s="711"/>
      <c r="AH14" s="711"/>
      <c r="AI14" s="711"/>
      <c r="AJ14" s="711"/>
      <c r="AK14" s="711"/>
      <c r="AL14" s="711"/>
      <c r="AM14" s="711"/>
      <c r="AN14" s="711"/>
      <c r="AO14" s="711"/>
      <c r="AP14" s="712"/>
    </row>
    <row r="15" spans="2:42" ht="15" customHeight="1">
      <c r="B15" s="414" t="s">
        <v>80</v>
      </c>
      <c r="C15" s="48" t="s">
        <v>101</v>
      </c>
      <c r="D15" s="48" t="s">
        <v>109</v>
      </c>
      <c r="E15" s="48" t="s">
        <v>117</v>
      </c>
      <c r="F15" s="48" t="s">
        <v>125</v>
      </c>
      <c r="G15" s="159">
        <v>99</v>
      </c>
      <c r="H15" s="48" t="s">
        <v>88</v>
      </c>
      <c r="I15" s="48" t="s">
        <v>71</v>
      </c>
      <c r="J15" s="48" t="s">
        <v>65</v>
      </c>
      <c r="K15" s="48" t="s">
        <v>58</v>
      </c>
      <c r="L15" s="30" t="s">
        <v>50</v>
      </c>
      <c r="M15" s="30" t="s">
        <v>41</v>
      </c>
      <c r="N15" s="395" t="s">
        <v>31</v>
      </c>
      <c r="O15" s="149"/>
      <c r="P15" s="414" t="s">
        <v>80</v>
      </c>
      <c r="Q15" s="48" t="s">
        <v>101</v>
      </c>
      <c r="R15" s="48" t="s">
        <v>109</v>
      </c>
      <c r="S15" s="48" t="s">
        <v>117</v>
      </c>
      <c r="T15" s="48" t="s">
        <v>125</v>
      </c>
      <c r="U15" s="159">
        <v>99</v>
      </c>
      <c r="V15" s="48" t="s">
        <v>88</v>
      </c>
      <c r="W15" s="48" t="s">
        <v>71</v>
      </c>
      <c r="X15" s="156" t="s">
        <v>65</v>
      </c>
      <c r="Y15" s="156" t="s">
        <v>58</v>
      </c>
      <c r="Z15" s="156" t="s">
        <v>50</v>
      </c>
      <c r="AA15" s="30" t="s">
        <v>41</v>
      </c>
      <c r="AB15" s="395" t="s">
        <v>31</v>
      </c>
      <c r="AD15" s="433"/>
      <c r="AE15" s="713" t="s">
        <v>250</v>
      </c>
      <c r="AF15" s="714"/>
      <c r="AG15" s="714"/>
      <c r="AH15" s="714"/>
      <c r="AI15" s="714"/>
      <c r="AJ15" s="714"/>
      <c r="AK15" s="714"/>
      <c r="AL15" s="714"/>
      <c r="AM15" s="714"/>
      <c r="AN15" s="714"/>
      <c r="AO15" s="714"/>
      <c r="AP15" s="715"/>
    </row>
    <row r="16" spans="2:42" ht="15" customHeight="1" thickBot="1">
      <c r="B16" s="414" t="s">
        <v>81</v>
      </c>
      <c r="C16" s="48" t="s">
        <v>102</v>
      </c>
      <c r="D16" s="48" t="s">
        <v>110</v>
      </c>
      <c r="E16" s="30" t="s">
        <v>118</v>
      </c>
      <c r="F16" s="48" t="s">
        <v>126</v>
      </c>
      <c r="G16" s="48" t="s">
        <v>133</v>
      </c>
      <c r="H16" s="151">
        <v>88</v>
      </c>
      <c r="I16" s="48" t="s">
        <v>72</v>
      </c>
      <c r="J16" s="48" t="s">
        <v>66</v>
      </c>
      <c r="K16" s="48" t="s">
        <v>59</v>
      </c>
      <c r="L16" s="30" t="s">
        <v>51</v>
      </c>
      <c r="M16" s="30" t="s">
        <v>42</v>
      </c>
      <c r="N16" s="395" t="s">
        <v>32</v>
      </c>
      <c r="O16" s="149"/>
      <c r="P16" s="414" t="s">
        <v>81</v>
      </c>
      <c r="Q16" s="48" t="s">
        <v>102</v>
      </c>
      <c r="R16" s="48" t="s">
        <v>110</v>
      </c>
      <c r="S16" s="156" t="s">
        <v>118</v>
      </c>
      <c r="T16" s="156" t="s">
        <v>126</v>
      </c>
      <c r="U16" s="156" t="s">
        <v>133</v>
      </c>
      <c r="V16" s="151">
        <v>88</v>
      </c>
      <c r="W16" s="48" t="s">
        <v>72</v>
      </c>
      <c r="X16" s="48" t="s">
        <v>66</v>
      </c>
      <c r="Y16" s="156" t="s">
        <v>59</v>
      </c>
      <c r="Z16" s="156" t="s">
        <v>51</v>
      </c>
      <c r="AA16" s="30" t="s">
        <v>42</v>
      </c>
      <c r="AB16" s="395" t="s">
        <v>32</v>
      </c>
      <c r="AD16" s="430"/>
      <c r="AE16" s="716" t="s">
        <v>258</v>
      </c>
      <c r="AF16" s="717"/>
      <c r="AG16" s="717"/>
      <c r="AH16" s="717"/>
      <c r="AI16" s="717"/>
      <c r="AJ16" s="717"/>
      <c r="AK16" s="717"/>
      <c r="AL16" s="717"/>
      <c r="AM16" s="717"/>
      <c r="AN16" s="717"/>
      <c r="AO16" s="717"/>
      <c r="AP16" s="718"/>
    </row>
    <row r="17" spans="1:42" ht="15" customHeight="1" thickBot="1">
      <c r="B17" s="414" t="s">
        <v>82</v>
      </c>
      <c r="C17" s="48" t="s">
        <v>103</v>
      </c>
      <c r="D17" s="30" t="s">
        <v>111</v>
      </c>
      <c r="E17" s="30" t="s">
        <v>119</v>
      </c>
      <c r="F17" s="30" t="s">
        <v>127</v>
      </c>
      <c r="G17" s="30" t="s">
        <v>134</v>
      </c>
      <c r="H17" s="48" t="s">
        <v>140</v>
      </c>
      <c r="I17" s="117">
        <v>77</v>
      </c>
      <c r="J17" s="48" t="s">
        <v>67</v>
      </c>
      <c r="K17" s="48" t="s">
        <v>60</v>
      </c>
      <c r="L17" s="30" t="s">
        <v>52</v>
      </c>
      <c r="M17" s="30" t="s">
        <v>43</v>
      </c>
      <c r="N17" s="395" t="s">
        <v>33</v>
      </c>
      <c r="O17" s="149"/>
      <c r="P17" s="414" t="s">
        <v>82</v>
      </c>
      <c r="Q17" s="48" t="s">
        <v>103</v>
      </c>
      <c r="R17" s="48" t="s">
        <v>111</v>
      </c>
      <c r="S17" s="156" t="s">
        <v>119</v>
      </c>
      <c r="T17" s="156" t="s">
        <v>127</v>
      </c>
      <c r="U17" s="156" t="s">
        <v>134</v>
      </c>
      <c r="V17" s="156" t="s">
        <v>140</v>
      </c>
      <c r="W17" s="151">
        <v>77</v>
      </c>
      <c r="X17" s="48" t="s">
        <v>67</v>
      </c>
      <c r="Y17" s="156" t="s">
        <v>60</v>
      </c>
      <c r="Z17" s="156" t="s">
        <v>52</v>
      </c>
      <c r="AA17" s="156" t="s">
        <v>43</v>
      </c>
      <c r="AB17" s="395" t="s">
        <v>33</v>
      </c>
    </row>
    <row r="18" spans="1:42" ht="15" customHeight="1">
      <c r="B18" s="414" t="s">
        <v>83</v>
      </c>
      <c r="C18" s="48" t="s">
        <v>108</v>
      </c>
      <c r="D18" s="30" t="s">
        <v>112</v>
      </c>
      <c r="E18" s="30" t="s">
        <v>120</v>
      </c>
      <c r="F18" s="30" t="s">
        <v>128</v>
      </c>
      <c r="G18" s="30" t="s">
        <v>135</v>
      </c>
      <c r="H18" s="30" t="s">
        <v>141</v>
      </c>
      <c r="I18" s="30" t="s">
        <v>146</v>
      </c>
      <c r="J18" s="117">
        <v>66</v>
      </c>
      <c r="K18" s="48" t="s">
        <v>61</v>
      </c>
      <c r="L18" s="48" t="s">
        <v>53</v>
      </c>
      <c r="M18" s="30" t="s">
        <v>44</v>
      </c>
      <c r="N18" s="395" t="s">
        <v>34</v>
      </c>
      <c r="O18" s="149"/>
      <c r="P18" s="414" t="s">
        <v>83</v>
      </c>
      <c r="Q18" s="48" t="s">
        <v>108</v>
      </c>
      <c r="R18" s="30" t="s">
        <v>112</v>
      </c>
      <c r="S18" s="30" t="s">
        <v>120</v>
      </c>
      <c r="T18" s="30" t="s">
        <v>128</v>
      </c>
      <c r="U18" s="30" t="s">
        <v>135</v>
      </c>
      <c r="V18" s="30" t="s">
        <v>141</v>
      </c>
      <c r="W18" s="156" t="s">
        <v>146</v>
      </c>
      <c r="X18" s="151">
        <v>66</v>
      </c>
      <c r="Y18" s="48" t="s">
        <v>61</v>
      </c>
      <c r="Z18" s="156" t="s">
        <v>53</v>
      </c>
      <c r="AA18" s="156" t="s">
        <v>44</v>
      </c>
      <c r="AB18" s="395" t="s">
        <v>34</v>
      </c>
      <c r="AD18" s="449"/>
      <c r="AE18" s="697" t="s">
        <v>252</v>
      </c>
      <c r="AF18" s="698"/>
      <c r="AG18" s="698"/>
      <c r="AH18" s="698"/>
      <c r="AI18" s="698"/>
      <c r="AJ18" s="698"/>
      <c r="AK18" s="698"/>
      <c r="AL18" s="698"/>
      <c r="AM18" s="698"/>
      <c r="AN18" s="698"/>
      <c r="AO18" s="698"/>
      <c r="AP18" s="699"/>
    </row>
    <row r="19" spans="1:42" ht="15" customHeight="1">
      <c r="B19" s="414" t="s">
        <v>84</v>
      </c>
      <c r="C19" s="48" t="s">
        <v>104</v>
      </c>
      <c r="D19" s="30" t="s">
        <v>113</v>
      </c>
      <c r="E19" s="30" t="s">
        <v>121</v>
      </c>
      <c r="F19" s="30" t="s">
        <v>129</v>
      </c>
      <c r="G19" s="30" t="s">
        <v>136</v>
      </c>
      <c r="H19" s="30" t="s">
        <v>142</v>
      </c>
      <c r="I19" s="30" t="s">
        <v>147</v>
      </c>
      <c r="J19" s="30" t="s">
        <v>151</v>
      </c>
      <c r="K19" s="117">
        <v>55</v>
      </c>
      <c r="L19" s="48" t="s">
        <v>54</v>
      </c>
      <c r="M19" s="30" t="s">
        <v>45</v>
      </c>
      <c r="N19" s="395" t="s">
        <v>35</v>
      </c>
      <c r="O19" s="149"/>
      <c r="P19" s="414" t="s">
        <v>84</v>
      </c>
      <c r="Q19" s="48" t="s">
        <v>104</v>
      </c>
      <c r="R19" s="30" t="s">
        <v>113</v>
      </c>
      <c r="S19" s="30" t="s">
        <v>121</v>
      </c>
      <c r="T19" s="30" t="s">
        <v>129</v>
      </c>
      <c r="U19" s="30" t="s">
        <v>136</v>
      </c>
      <c r="V19" s="30" t="s">
        <v>142</v>
      </c>
      <c r="W19" s="30" t="s">
        <v>147</v>
      </c>
      <c r="X19" s="30" t="s">
        <v>151</v>
      </c>
      <c r="Y19" s="117">
        <v>55</v>
      </c>
      <c r="Z19" s="156" t="s">
        <v>54</v>
      </c>
      <c r="AA19" s="156" t="s">
        <v>45</v>
      </c>
      <c r="AB19" s="395" t="s">
        <v>35</v>
      </c>
      <c r="AD19" s="450"/>
      <c r="AE19" s="710" t="s">
        <v>254</v>
      </c>
      <c r="AF19" s="711"/>
      <c r="AG19" s="711"/>
      <c r="AH19" s="711"/>
      <c r="AI19" s="711"/>
      <c r="AJ19" s="711"/>
      <c r="AK19" s="711"/>
      <c r="AL19" s="711"/>
      <c r="AM19" s="711"/>
      <c r="AN19" s="711"/>
      <c r="AO19" s="711"/>
      <c r="AP19" s="712"/>
    </row>
    <row r="20" spans="1:42" ht="15" customHeight="1">
      <c r="B20" s="414" t="s">
        <v>85</v>
      </c>
      <c r="C20" s="48" t="s">
        <v>105</v>
      </c>
      <c r="D20" s="30" t="s">
        <v>114</v>
      </c>
      <c r="E20" s="30" t="s">
        <v>122</v>
      </c>
      <c r="F20" s="30" t="s">
        <v>130</v>
      </c>
      <c r="G20" s="30" t="s">
        <v>137</v>
      </c>
      <c r="H20" s="30" t="s">
        <v>143</v>
      </c>
      <c r="I20" s="30" t="s">
        <v>148</v>
      </c>
      <c r="J20" s="30" t="s">
        <v>152</v>
      </c>
      <c r="K20" s="30" t="s">
        <v>155</v>
      </c>
      <c r="L20" s="117">
        <v>44</v>
      </c>
      <c r="M20" s="30" t="s">
        <v>46</v>
      </c>
      <c r="N20" s="395" t="s">
        <v>36</v>
      </c>
      <c r="O20" s="149"/>
      <c r="P20" s="414" t="s">
        <v>85</v>
      </c>
      <c r="Q20" s="48" t="s">
        <v>105</v>
      </c>
      <c r="R20" s="30" t="s">
        <v>114</v>
      </c>
      <c r="S20" s="30" t="s">
        <v>122</v>
      </c>
      <c r="T20" s="30" t="s">
        <v>130</v>
      </c>
      <c r="U20" s="30" t="s">
        <v>137</v>
      </c>
      <c r="V20" s="30" t="s">
        <v>143</v>
      </c>
      <c r="W20" s="30" t="s">
        <v>148</v>
      </c>
      <c r="X20" s="30" t="s">
        <v>152</v>
      </c>
      <c r="Y20" s="30" t="s">
        <v>155</v>
      </c>
      <c r="Z20" s="117">
        <v>44</v>
      </c>
      <c r="AA20" s="156" t="s">
        <v>46</v>
      </c>
      <c r="AB20" s="395" t="s">
        <v>36</v>
      </c>
      <c r="AD20" s="454"/>
      <c r="AE20" s="710" t="s">
        <v>257</v>
      </c>
      <c r="AF20" s="711"/>
      <c r="AG20" s="711"/>
      <c r="AH20" s="711"/>
      <c r="AI20" s="711"/>
      <c r="AJ20" s="711"/>
      <c r="AK20" s="711"/>
      <c r="AL20" s="711"/>
      <c r="AM20" s="711"/>
      <c r="AN20" s="711"/>
      <c r="AO20" s="711"/>
      <c r="AP20" s="712"/>
    </row>
    <row r="21" spans="1:42" ht="15" customHeight="1">
      <c r="B21" s="414" t="s">
        <v>86</v>
      </c>
      <c r="C21" s="48" t="s">
        <v>106</v>
      </c>
      <c r="D21" s="30" t="s">
        <v>115</v>
      </c>
      <c r="E21" s="30" t="s">
        <v>123</v>
      </c>
      <c r="F21" s="30" t="s">
        <v>131</v>
      </c>
      <c r="G21" s="30" t="s">
        <v>138</v>
      </c>
      <c r="H21" s="46" t="s">
        <v>144</v>
      </c>
      <c r="I21" s="46" t="s">
        <v>149</v>
      </c>
      <c r="J21" s="46" t="s">
        <v>153</v>
      </c>
      <c r="K21" s="46" t="s">
        <v>156</v>
      </c>
      <c r="L21" s="46" t="s">
        <v>158</v>
      </c>
      <c r="M21" s="117">
        <v>33</v>
      </c>
      <c r="N21" s="395" t="s">
        <v>37</v>
      </c>
      <c r="O21" s="149"/>
      <c r="P21" s="414" t="s">
        <v>86</v>
      </c>
      <c r="Q21" s="48" t="s">
        <v>106</v>
      </c>
      <c r="R21" s="30" t="s">
        <v>115</v>
      </c>
      <c r="S21" s="46" t="s">
        <v>123</v>
      </c>
      <c r="T21" s="46" t="s">
        <v>131</v>
      </c>
      <c r="U21" s="46" t="s">
        <v>138</v>
      </c>
      <c r="V21" s="46" t="s">
        <v>144</v>
      </c>
      <c r="W21" s="46" t="s">
        <v>149</v>
      </c>
      <c r="X21" s="46" t="s">
        <v>153</v>
      </c>
      <c r="Y21" s="46" t="s">
        <v>156</v>
      </c>
      <c r="Z21" s="46" t="s">
        <v>158</v>
      </c>
      <c r="AA21" s="117">
        <v>33</v>
      </c>
      <c r="AB21" s="395" t="s">
        <v>37</v>
      </c>
      <c r="AD21" s="455"/>
      <c r="AE21" s="710" t="s">
        <v>260</v>
      </c>
      <c r="AF21" s="711"/>
      <c r="AG21" s="711"/>
      <c r="AH21" s="711"/>
      <c r="AI21" s="711"/>
      <c r="AJ21" s="711"/>
      <c r="AK21" s="711"/>
      <c r="AL21" s="711"/>
      <c r="AM21" s="711"/>
      <c r="AN21" s="711"/>
      <c r="AO21" s="711"/>
      <c r="AP21" s="712"/>
    </row>
    <row r="22" spans="1:42" ht="15" customHeight="1" thickBot="1">
      <c r="B22" s="434" t="s">
        <v>87</v>
      </c>
      <c r="C22" s="435" t="s">
        <v>107</v>
      </c>
      <c r="D22" s="427" t="s">
        <v>116</v>
      </c>
      <c r="E22" s="427" t="s">
        <v>124</v>
      </c>
      <c r="F22" s="427" t="s">
        <v>132</v>
      </c>
      <c r="G22" s="240" t="s">
        <v>139</v>
      </c>
      <c r="H22" s="240" t="s">
        <v>145</v>
      </c>
      <c r="I22" s="240" t="s">
        <v>150</v>
      </c>
      <c r="J22" s="240" t="s">
        <v>154</v>
      </c>
      <c r="K22" s="240" t="s">
        <v>157</v>
      </c>
      <c r="L22" s="240" t="s">
        <v>160</v>
      </c>
      <c r="M22" s="240" t="s">
        <v>159</v>
      </c>
      <c r="N22" s="249">
        <v>22</v>
      </c>
      <c r="O22" s="161"/>
      <c r="P22" s="434" t="s">
        <v>87</v>
      </c>
      <c r="Q22" s="427" t="s">
        <v>107</v>
      </c>
      <c r="R22" s="427" t="s">
        <v>116</v>
      </c>
      <c r="S22" s="240" t="s">
        <v>124</v>
      </c>
      <c r="T22" s="240" t="s">
        <v>132</v>
      </c>
      <c r="U22" s="240" t="s">
        <v>139</v>
      </c>
      <c r="V22" s="240" t="s">
        <v>145</v>
      </c>
      <c r="W22" s="240" t="s">
        <v>150</v>
      </c>
      <c r="X22" s="240" t="s">
        <v>154</v>
      </c>
      <c r="Y22" s="240" t="s">
        <v>157</v>
      </c>
      <c r="Z22" s="240" t="s">
        <v>160</v>
      </c>
      <c r="AA22" s="240" t="s">
        <v>159</v>
      </c>
      <c r="AB22" s="249">
        <v>22</v>
      </c>
      <c r="AD22" s="451"/>
      <c r="AE22" s="710" t="s">
        <v>262</v>
      </c>
      <c r="AF22" s="711"/>
      <c r="AG22" s="711"/>
      <c r="AH22" s="711"/>
      <c r="AI22" s="711"/>
      <c r="AJ22" s="711"/>
      <c r="AK22" s="711"/>
      <c r="AL22" s="711"/>
      <c r="AM22" s="711"/>
      <c r="AN22" s="711"/>
      <c r="AO22" s="711"/>
      <c r="AP22" s="712"/>
    </row>
    <row r="23" spans="1:42" ht="15" customHeight="1" thickBot="1">
      <c r="AD23" s="452"/>
      <c r="AE23" s="710" t="s">
        <v>264</v>
      </c>
      <c r="AF23" s="711"/>
      <c r="AG23" s="711"/>
      <c r="AH23" s="711"/>
      <c r="AI23" s="711"/>
      <c r="AJ23" s="711"/>
      <c r="AK23" s="711"/>
      <c r="AL23" s="711"/>
      <c r="AM23" s="711"/>
      <c r="AN23" s="711"/>
      <c r="AO23" s="711"/>
      <c r="AP23" s="712"/>
    </row>
    <row r="24" spans="1:42" ht="15" customHeight="1" thickBot="1">
      <c r="A24" s="43"/>
      <c r="B24" s="647" t="s">
        <v>248</v>
      </c>
      <c r="C24" s="648"/>
      <c r="D24" s="648"/>
      <c r="E24" s="648"/>
      <c r="F24" s="648"/>
      <c r="G24" s="648"/>
      <c r="H24" s="648"/>
      <c r="I24" s="648"/>
      <c r="J24" s="648"/>
      <c r="K24" s="648"/>
      <c r="L24" s="648"/>
      <c r="M24" s="648"/>
      <c r="N24" s="649"/>
      <c r="O24" s="43"/>
      <c r="P24" s="647" t="s">
        <v>249</v>
      </c>
      <c r="Q24" s="648"/>
      <c r="R24" s="648"/>
      <c r="S24" s="648"/>
      <c r="T24" s="648"/>
      <c r="U24" s="648"/>
      <c r="V24" s="648"/>
      <c r="W24" s="648"/>
      <c r="X24" s="648"/>
      <c r="Y24" s="648"/>
      <c r="Z24" s="648"/>
      <c r="AA24" s="648"/>
      <c r="AB24" s="650"/>
      <c r="AD24" s="456"/>
      <c r="AE24" s="719" t="s">
        <v>261</v>
      </c>
      <c r="AF24" s="720"/>
      <c r="AG24" s="720"/>
      <c r="AH24" s="720"/>
      <c r="AI24" s="720"/>
      <c r="AJ24" s="720"/>
      <c r="AK24" s="720"/>
      <c r="AL24" s="720"/>
      <c r="AM24" s="720"/>
      <c r="AN24" s="720"/>
      <c r="AO24" s="720"/>
      <c r="AP24" s="721"/>
    </row>
    <row r="25" spans="1:42" ht="15" customHeight="1" thickBot="1">
      <c r="A25" s="43"/>
      <c r="B25" s="353" t="s">
        <v>0</v>
      </c>
      <c r="C25" s="148" t="s">
        <v>5</v>
      </c>
      <c r="D25" s="150" t="s">
        <v>6</v>
      </c>
      <c r="E25" s="151" t="s">
        <v>7</v>
      </c>
      <c r="F25" s="151" t="s">
        <v>8</v>
      </c>
      <c r="G25" s="151" t="s">
        <v>9</v>
      </c>
      <c r="H25" s="131" t="s">
        <v>10</v>
      </c>
      <c r="I25" s="131" t="s">
        <v>11</v>
      </c>
      <c r="J25" s="131" t="s">
        <v>12</v>
      </c>
      <c r="K25" s="47" t="s">
        <v>13</v>
      </c>
      <c r="L25" s="47" t="s">
        <v>14</v>
      </c>
      <c r="M25" s="47" t="s">
        <v>15</v>
      </c>
      <c r="N25" s="366" t="s">
        <v>16</v>
      </c>
      <c r="O25" s="43"/>
      <c r="P25" s="437" t="s">
        <v>0</v>
      </c>
      <c r="Q25" s="148" t="s">
        <v>5</v>
      </c>
      <c r="R25" s="150" t="s">
        <v>6</v>
      </c>
      <c r="S25" s="151" t="s">
        <v>7</v>
      </c>
      <c r="T25" s="151" t="s">
        <v>8</v>
      </c>
      <c r="U25" s="151" t="s">
        <v>9</v>
      </c>
      <c r="V25" s="131" t="s">
        <v>10</v>
      </c>
      <c r="W25" s="131" t="s">
        <v>11</v>
      </c>
      <c r="X25" s="131" t="s">
        <v>12</v>
      </c>
      <c r="Y25" s="47" t="s">
        <v>13</v>
      </c>
      <c r="Z25" s="47" t="s">
        <v>14</v>
      </c>
      <c r="AA25" s="47" t="s">
        <v>15</v>
      </c>
      <c r="AB25" s="366" t="s">
        <v>16</v>
      </c>
    </row>
    <row r="26" spans="1:42" ht="15" customHeight="1">
      <c r="A26" s="43"/>
      <c r="B26" s="443" t="s">
        <v>76</v>
      </c>
      <c r="C26" s="148" t="s">
        <v>1</v>
      </c>
      <c r="D26" s="151" t="s">
        <v>95</v>
      </c>
      <c r="E26" s="151" t="s">
        <v>94</v>
      </c>
      <c r="F26" s="151" t="s">
        <v>19</v>
      </c>
      <c r="G26" s="47" t="s">
        <v>20</v>
      </c>
      <c r="H26" s="47" t="s">
        <v>21</v>
      </c>
      <c r="I26" s="47" t="s">
        <v>22</v>
      </c>
      <c r="J26" s="47" t="s">
        <v>23</v>
      </c>
      <c r="K26" s="47" t="s">
        <v>24</v>
      </c>
      <c r="L26" s="153" t="s">
        <v>25</v>
      </c>
      <c r="M26" s="153" t="s">
        <v>26</v>
      </c>
      <c r="N26" s="444" t="s">
        <v>191</v>
      </c>
      <c r="O26" s="43"/>
      <c r="P26" s="438" t="s">
        <v>76</v>
      </c>
      <c r="Q26" s="152" t="s">
        <v>1</v>
      </c>
      <c r="R26" s="151" t="s">
        <v>95</v>
      </c>
      <c r="S26" s="151" t="s">
        <v>94</v>
      </c>
      <c r="T26" s="151" t="s">
        <v>19</v>
      </c>
      <c r="U26" s="131" t="s">
        <v>20</v>
      </c>
      <c r="V26" s="131" t="s">
        <v>21</v>
      </c>
      <c r="W26" s="131" t="s">
        <v>22</v>
      </c>
      <c r="X26" s="131" t="s">
        <v>23</v>
      </c>
      <c r="Y26" s="47" t="s">
        <v>24</v>
      </c>
      <c r="Z26" s="47" t="s">
        <v>25</v>
      </c>
      <c r="AA26" s="47" t="s">
        <v>26</v>
      </c>
      <c r="AB26" s="366" t="s">
        <v>191</v>
      </c>
      <c r="AD26" s="449"/>
      <c r="AE26" s="697" t="s">
        <v>252</v>
      </c>
      <c r="AF26" s="698"/>
      <c r="AG26" s="698"/>
      <c r="AH26" s="698"/>
      <c r="AI26" s="698"/>
      <c r="AJ26" s="698"/>
      <c r="AK26" s="698"/>
      <c r="AL26" s="698"/>
      <c r="AM26" s="698"/>
      <c r="AN26" s="698"/>
      <c r="AO26" s="698"/>
      <c r="AP26" s="699"/>
    </row>
    <row r="27" spans="1:42" ht="15" customHeight="1">
      <c r="A27" s="43"/>
      <c r="B27" s="445" t="s">
        <v>77</v>
      </c>
      <c r="C27" s="154" t="s">
        <v>17</v>
      </c>
      <c r="D27" s="148" t="s">
        <v>2</v>
      </c>
      <c r="E27" s="151" t="s">
        <v>97</v>
      </c>
      <c r="F27" s="151" t="s">
        <v>92</v>
      </c>
      <c r="G27" s="47" t="s">
        <v>96</v>
      </c>
      <c r="H27" s="47" t="s">
        <v>73</v>
      </c>
      <c r="I27" s="47" t="s">
        <v>68</v>
      </c>
      <c r="J27" s="47" t="s">
        <v>62</v>
      </c>
      <c r="K27" s="47" t="s">
        <v>55</v>
      </c>
      <c r="L27" s="47" t="s">
        <v>47</v>
      </c>
      <c r="M27" s="47" t="s">
        <v>38</v>
      </c>
      <c r="N27" s="366" t="s">
        <v>30</v>
      </c>
      <c r="O27" s="43"/>
      <c r="P27" s="439" t="s">
        <v>77</v>
      </c>
      <c r="Q27" s="155" t="s">
        <v>17</v>
      </c>
      <c r="R27" s="148" t="s">
        <v>2</v>
      </c>
      <c r="S27" s="151" t="s">
        <v>97</v>
      </c>
      <c r="T27" s="151" t="s">
        <v>92</v>
      </c>
      <c r="U27" s="131" t="s">
        <v>96</v>
      </c>
      <c r="V27" s="131" t="s">
        <v>73</v>
      </c>
      <c r="W27" s="47" t="s">
        <v>68</v>
      </c>
      <c r="X27" s="47" t="s">
        <v>62</v>
      </c>
      <c r="Y27" s="47" t="s">
        <v>55</v>
      </c>
      <c r="Z27" s="47" t="s">
        <v>47</v>
      </c>
      <c r="AA27" s="47" t="s">
        <v>38</v>
      </c>
      <c r="AB27" s="366" t="s">
        <v>30</v>
      </c>
      <c r="AD27" s="450"/>
      <c r="AE27" s="710" t="s">
        <v>254</v>
      </c>
      <c r="AF27" s="711"/>
      <c r="AG27" s="711"/>
      <c r="AH27" s="711"/>
      <c r="AI27" s="711"/>
      <c r="AJ27" s="711"/>
      <c r="AK27" s="711"/>
      <c r="AL27" s="711"/>
      <c r="AM27" s="711"/>
      <c r="AN27" s="711"/>
      <c r="AO27" s="711"/>
      <c r="AP27" s="712"/>
    </row>
    <row r="28" spans="1:42" ht="15" customHeight="1">
      <c r="A28" s="43"/>
      <c r="B28" s="446" t="s">
        <v>78</v>
      </c>
      <c r="C28" s="153" t="s">
        <v>18</v>
      </c>
      <c r="D28" s="48" t="s">
        <v>93</v>
      </c>
      <c r="E28" s="148" t="s">
        <v>3</v>
      </c>
      <c r="F28" s="158" t="s">
        <v>91</v>
      </c>
      <c r="G28" s="47" t="s">
        <v>90</v>
      </c>
      <c r="H28" s="47" t="s">
        <v>74</v>
      </c>
      <c r="I28" s="47" t="s">
        <v>69</v>
      </c>
      <c r="J28" s="47" t="s">
        <v>63</v>
      </c>
      <c r="K28" s="47" t="s">
        <v>56</v>
      </c>
      <c r="L28" s="47" t="s">
        <v>48</v>
      </c>
      <c r="M28" s="47" t="s">
        <v>39</v>
      </c>
      <c r="N28" s="366" t="s">
        <v>28</v>
      </c>
      <c r="O28" s="43"/>
      <c r="P28" s="440" t="s">
        <v>78</v>
      </c>
      <c r="Q28" s="47" t="s">
        <v>18</v>
      </c>
      <c r="R28" s="47" t="s">
        <v>93</v>
      </c>
      <c r="S28" s="148" t="s">
        <v>3</v>
      </c>
      <c r="T28" s="151" t="s">
        <v>91</v>
      </c>
      <c r="U28" s="131" t="s">
        <v>90</v>
      </c>
      <c r="V28" s="131" t="s">
        <v>74</v>
      </c>
      <c r="W28" s="47" t="s">
        <v>69</v>
      </c>
      <c r="X28" s="47" t="s">
        <v>63</v>
      </c>
      <c r="Y28" s="47" t="s">
        <v>56</v>
      </c>
      <c r="Z28" s="47" t="s">
        <v>48</v>
      </c>
      <c r="AA28" s="47" t="s">
        <v>39</v>
      </c>
      <c r="AB28" s="366" t="s">
        <v>28</v>
      </c>
      <c r="AD28" s="451"/>
      <c r="AE28" s="710" t="s">
        <v>256</v>
      </c>
      <c r="AF28" s="711"/>
      <c r="AG28" s="711"/>
      <c r="AH28" s="711"/>
      <c r="AI28" s="711"/>
      <c r="AJ28" s="711"/>
      <c r="AK28" s="711"/>
      <c r="AL28" s="711"/>
      <c r="AM28" s="711"/>
      <c r="AN28" s="711"/>
      <c r="AO28" s="711"/>
      <c r="AP28" s="712"/>
    </row>
    <row r="29" spans="1:42" ht="15" customHeight="1">
      <c r="A29" s="43"/>
      <c r="B29" s="447" t="s">
        <v>79</v>
      </c>
      <c r="C29" s="47" t="s">
        <v>98</v>
      </c>
      <c r="D29" s="47" t="s">
        <v>99</v>
      </c>
      <c r="E29" s="131" t="s">
        <v>100</v>
      </c>
      <c r="F29" s="159" t="s">
        <v>4</v>
      </c>
      <c r="G29" s="47" t="s">
        <v>89</v>
      </c>
      <c r="H29" s="47" t="s">
        <v>75</v>
      </c>
      <c r="I29" s="47" t="s">
        <v>70</v>
      </c>
      <c r="J29" s="47" t="s">
        <v>64</v>
      </c>
      <c r="K29" s="47" t="s">
        <v>57</v>
      </c>
      <c r="L29" s="47" t="s">
        <v>49</v>
      </c>
      <c r="M29" s="47" t="s">
        <v>40</v>
      </c>
      <c r="N29" s="395" t="s">
        <v>29</v>
      </c>
      <c r="O29" s="43"/>
      <c r="P29" s="416" t="s">
        <v>79</v>
      </c>
      <c r="Q29" s="47" t="s">
        <v>98</v>
      </c>
      <c r="R29" s="47" t="s">
        <v>99</v>
      </c>
      <c r="S29" s="131" t="s">
        <v>100</v>
      </c>
      <c r="T29" s="159" t="s">
        <v>4</v>
      </c>
      <c r="U29" s="131" t="s">
        <v>89</v>
      </c>
      <c r="V29" s="131" t="s">
        <v>75</v>
      </c>
      <c r="W29" s="47" t="s">
        <v>70</v>
      </c>
      <c r="X29" s="47" t="s">
        <v>64</v>
      </c>
      <c r="Y29" s="47" t="s">
        <v>57</v>
      </c>
      <c r="Z29" s="47" t="s">
        <v>49</v>
      </c>
      <c r="AA29" s="47" t="s">
        <v>40</v>
      </c>
      <c r="AB29" s="395" t="s">
        <v>29</v>
      </c>
      <c r="AD29" s="452"/>
      <c r="AE29" s="710" t="s">
        <v>259</v>
      </c>
      <c r="AF29" s="711"/>
      <c r="AG29" s="711"/>
      <c r="AH29" s="711"/>
      <c r="AI29" s="711"/>
      <c r="AJ29" s="711"/>
      <c r="AK29" s="711"/>
      <c r="AL29" s="711"/>
      <c r="AM29" s="711"/>
      <c r="AN29" s="711"/>
      <c r="AO29" s="711"/>
      <c r="AP29" s="712"/>
    </row>
    <row r="30" spans="1:42" ht="15" customHeight="1">
      <c r="A30" s="43"/>
      <c r="B30" s="414" t="s">
        <v>80</v>
      </c>
      <c r="C30" s="131" t="s">
        <v>101</v>
      </c>
      <c r="D30" s="131" t="s">
        <v>109</v>
      </c>
      <c r="E30" s="131" t="s">
        <v>117</v>
      </c>
      <c r="F30" s="131" t="s">
        <v>125</v>
      </c>
      <c r="G30" s="159">
        <v>99</v>
      </c>
      <c r="H30" s="47" t="s">
        <v>88</v>
      </c>
      <c r="I30" s="47" t="s">
        <v>71</v>
      </c>
      <c r="J30" s="47" t="s">
        <v>65</v>
      </c>
      <c r="K30" s="131" t="s">
        <v>58</v>
      </c>
      <c r="L30" s="131" t="s">
        <v>50</v>
      </c>
      <c r="M30" s="131" t="s">
        <v>41</v>
      </c>
      <c r="N30" s="395" t="s">
        <v>31</v>
      </c>
      <c r="O30" s="43"/>
      <c r="P30" s="389" t="s">
        <v>80</v>
      </c>
      <c r="Q30" s="47" t="s">
        <v>101</v>
      </c>
      <c r="R30" s="47" t="s">
        <v>109</v>
      </c>
      <c r="S30" s="131" t="s">
        <v>117</v>
      </c>
      <c r="T30" s="131" t="s">
        <v>125</v>
      </c>
      <c r="U30" s="159">
        <v>99</v>
      </c>
      <c r="V30" s="131" t="s">
        <v>88</v>
      </c>
      <c r="W30" s="131" t="s">
        <v>71</v>
      </c>
      <c r="X30" s="47" t="s">
        <v>65</v>
      </c>
      <c r="Y30" s="47" t="s">
        <v>58</v>
      </c>
      <c r="Z30" s="47" t="s">
        <v>50</v>
      </c>
      <c r="AA30" s="47" t="s">
        <v>41</v>
      </c>
      <c r="AB30" s="395" t="s">
        <v>31</v>
      </c>
      <c r="AD30" s="405"/>
      <c r="AE30" s="710" t="s">
        <v>261</v>
      </c>
      <c r="AF30" s="711"/>
      <c r="AG30" s="711"/>
      <c r="AH30" s="711"/>
      <c r="AI30" s="711"/>
      <c r="AJ30" s="711"/>
      <c r="AK30" s="711"/>
      <c r="AL30" s="711"/>
      <c r="AM30" s="711"/>
      <c r="AN30" s="711"/>
      <c r="AO30" s="711"/>
      <c r="AP30" s="712"/>
    </row>
    <row r="31" spans="1:42" ht="15" customHeight="1">
      <c r="A31" s="43"/>
      <c r="B31" s="414" t="s">
        <v>81</v>
      </c>
      <c r="C31" s="131" t="s">
        <v>102</v>
      </c>
      <c r="D31" s="131" t="s">
        <v>110</v>
      </c>
      <c r="E31" s="131" t="s">
        <v>118</v>
      </c>
      <c r="F31" s="133" t="s">
        <v>126</v>
      </c>
      <c r="G31" s="131" t="s">
        <v>133</v>
      </c>
      <c r="H31" s="157">
        <v>88</v>
      </c>
      <c r="I31" s="47" t="s">
        <v>72</v>
      </c>
      <c r="J31" s="47" t="s">
        <v>66</v>
      </c>
      <c r="K31" s="131" t="s">
        <v>59</v>
      </c>
      <c r="L31" s="131" t="s">
        <v>51</v>
      </c>
      <c r="M31" s="131" t="s">
        <v>42</v>
      </c>
      <c r="N31" s="395" t="s">
        <v>32</v>
      </c>
      <c r="O31" s="43"/>
      <c r="P31" s="389" t="s">
        <v>81</v>
      </c>
      <c r="Q31" s="131" t="s">
        <v>102</v>
      </c>
      <c r="R31" s="131" t="s">
        <v>110</v>
      </c>
      <c r="S31" s="131" t="s">
        <v>118</v>
      </c>
      <c r="T31" s="131" t="s">
        <v>126</v>
      </c>
      <c r="U31" s="131" t="s">
        <v>133</v>
      </c>
      <c r="V31" s="157">
        <v>88</v>
      </c>
      <c r="W31" s="131" t="s">
        <v>72</v>
      </c>
      <c r="X31" s="131" t="s">
        <v>66</v>
      </c>
      <c r="Y31" s="47" t="s">
        <v>59</v>
      </c>
      <c r="Z31" s="47" t="s">
        <v>51</v>
      </c>
      <c r="AA31" s="47" t="s">
        <v>42</v>
      </c>
      <c r="AB31" s="395" t="s">
        <v>32</v>
      </c>
      <c r="AD31" s="628"/>
      <c r="AE31" s="710" t="s">
        <v>263</v>
      </c>
      <c r="AF31" s="711"/>
      <c r="AG31" s="711"/>
      <c r="AH31" s="711"/>
      <c r="AI31" s="711"/>
      <c r="AJ31" s="711"/>
      <c r="AK31" s="711"/>
      <c r="AL31" s="711"/>
      <c r="AM31" s="711"/>
      <c r="AN31" s="711"/>
      <c r="AO31" s="711"/>
      <c r="AP31" s="712"/>
    </row>
    <row r="32" spans="1:42" ht="15" customHeight="1">
      <c r="A32" s="43"/>
      <c r="B32" s="414" t="s">
        <v>82</v>
      </c>
      <c r="C32" s="131" t="s">
        <v>103</v>
      </c>
      <c r="D32" s="131" t="s">
        <v>111</v>
      </c>
      <c r="E32" s="133" t="s">
        <v>119</v>
      </c>
      <c r="F32" s="133" t="s">
        <v>127</v>
      </c>
      <c r="G32" s="133" t="s">
        <v>134</v>
      </c>
      <c r="H32" s="131" t="s">
        <v>140</v>
      </c>
      <c r="I32" s="157">
        <v>77</v>
      </c>
      <c r="J32" s="47" t="s">
        <v>67</v>
      </c>
      <c r="K32" s="131" t="s">
        <v>60</v>
      </c>
      <c r="L32" s="131" t="s">
        <v>52</v>
      </c>
      <c r="M32" s="131" t="s">
        <v>43</v>
      </c>
      <c r="N32" s="395" t="s">
        <v>33</v>
      </c>
      <c r="O32" s="43"/>
      <c r="P32" s="389" t="s">
        <v>82</v>
      </c>
      <c r="Q32" s="160" t="s">
        <v>103</v>
      </c>
      <c r="R32" s="160" t="s">
        <v>111</v>
      </c>
      <c r="S32" s="131" t="s">
        <v>119</v>
      </c>
      <c r="T32" s="131" t="s">
        <v>127</v>
      </c>
      <c r="U32" s="131" t="s">
        <v>134</v>
      </c>
      <c r="V32" s="131" t="s">
        <v>140</v>
      </c>
      <c r="W32" s="157">
        <v>77</v>
      </c>
      <c r="X32" s="131" t="s">
        <v>67</v>
      </c>
      <c r="Y32" s="131" t="s">
        <v>60</v>
      </c>
      <c r="Z32" s="47" t="s">
        <v>52</v>
      </c>
      <c r="AA32" s="47" t="s">
        <v>43</v>
      </c>
      <c r="AB32" s="395" t="s">
        <v>33</v>
      </c>
      <c r="AD32" s="141"/>
      <c r="AE32" s="709"/>
      <c r="AF32" s="709"/>
      <c r="AG32" s="709"/>
      <c r="AH32" s="709"/>
      <c r="AI32" s="709"/>
      <c r="AJ32" s="709"/>
      <c r="AK32" s="709"/>
      <c r="AL32" s="709"/>
      <c r="AM32" s="709"/>
      <c r="AN32" s="709"/>
      <c r="AO32" s="709"/>
      <c r="AP32" s="709"/>
    </row>
    <row r="33" spans="1:42" ht="15" customHeight="1">
      <c r="A33" s="43"/>
      <c r="B33" s="414" t="s">
        <v>83</v>
      </c>
      <c r="C33" s="133" t="s">
        <v>108</v>
      </c>
      <c r="D33" s="133" t="s">
        <v>112</v>
      </c>
      <c r="E33" s="133" t="s">
        <v>120</v>
      </c>
      <c r="F33" s="133" t="s">
        <v>128</v>
      </c>
      <c r="G33" s="133" t="s">
        <v>135</v>
      </c>
      <c r="H33" s="133" t="s">
        <v>141</v>
      </c>
      <c r="I33" s="30" t="s">
        <v>146</v>
      </c>
      <c r="J33" s="157">
        <v>66</v>
      </c>
      <c r="K33" s="47" t="s">
        <v>61</v>
      </c>
      <c r="L33" s="47" t="s">
        <v>53</v>
      </c>
      <c r="M33" s="47" t="s">
        <v>44</v>
      </c>
      <c r="N33" s="395" t="s">
        <v>34</v>
      </c>
      <c r="O33" s="43"/>
      <c r="P33" s="389" t="s">
        <v>83</v>
      </c>
      <c r="Q33" s="160" t="s">
        <v>108</v>
      </c>
      <c r="R33" s="160" t="s">
        <v>112</v>
      </c>
      <c r="S33" s="131" t="s">
        <v>120</v>
      </c>
      <c r="T33" s="131" t="s">
        <v>128</v>
      </c>
      <c r="U33" s="131" t="s">
        <v>135</v>
      </c>
      <c r="V33" s="131" t="s">
        <v>141</v>
      </c>
      <c r="W33" s="30" t="s">
        <v>146</v>
      </c>
      <c r="X33" s="157">
        <v>66</v>
      </c>
      <c r="Y33" s="131" t="s">
        <v>61</v>
      </c>
      <c r="Z33" s="47" t="s">
        <v>53</v>
      </c>
      <c r="AA33" s="47" t="s">
        <v>44</v>
      </c>
      <c r="AB33" s="395" t="s">
        <v>34</v>
      </c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</row>
    <row r="34" spans="1:42" ht="15" customHeight="1">
      <c r="A34" s="43"/>
      <c r="B34" s="414" t="s">
        <v>84</v>
      </c>
      <c r="C34" s="133" t="s">
        <v>104</v>
      </c>
      <c r="D34" s="133" t="s">
        <v>113</v>
      </c>
      <c r="E34" s="133" t="s">
        <v>121</v>
      </c>
      <c r="F34" s="30" t="s">
        <v>129</v>
      </c>
      <c r="G34" s="30" t="s">
        <v>136</v>
      </c>
      <c r="H34" s="30" t="s">
        <v>142</v>
      </c>
      <c r="I34" s="30" t="s">
        <v>147</v>
      </c>
      <c r="J34" s="30" t="s">
        <v>151</v>
      </c>
      <c r="K34" s="157">
        <v>55</v>
      </c>
      <c r="L34" s="47" t="s">
        <v>54</v>
      </c>
      <c r="M34" s="47" t="s">
        <v>45</v>
      </c>
      <c r="N34" s="395" t="s">
        <v>35</v>
      </c>
      <c r="O34" s="43"/>
      <c r="P34" s="416" t="s">
        <v>84</v>
      </c>
      <c r="Q34" s="131" t="s">
        <v>104</v>
      </c>
      <c r="R34" s="131" t="s">
        <v>113</v>
      </c>
      <c r="S34" s="30" t="s">
        <v>121</v>
      </c>
      <c r="T34" s="30" t="s">
        <v>129</v>
      </c>
      <c r="U34" s="30" t="s">
        <v>136</v>
      </c>
      <c r="V34" s="30" t="s">
        <v>142</v>
      </c>
      <c r="W34" s="30" t="s">
        <v>147</v>
      </c>
      <c r="X34" s="30" t="s">
        <v>151</v>
      </c>
      <c r="Y34" s="157">
        <v>55</v>
      </c>
      <c r="Z34" s="131" t="s">
        <v>54</v>
      </c>
      <c r="AA34" s="47" t="s">
        <v>45</v>
      </c>
      <c r="AB34" s="395" t="s">
        <v>35</v>
      </c>
      <c r="AD34" s="627"/>
      <c r="AE34" s="709"/>
      <c r="AF34" s="709"/>
      <c r="AG34" s="709"/>
      <c r="AH34" s="709"/>
      <c r="AI34" s="709"/>
      <c r="AJ34" s="709"/>
      <c r="AK34" s="709"/>
      <c r="AL34" s="709"/>
      <c r="AM34" s="709"/>
      <c r="AN34" s="709"/>
      <c r="AO34" s="709"/>
      <c r="AP34" s="709"/>
    </row>
    <row r="35" spans="1:42" ht="15" customHeight="1">
      <c r="A35" s="43"/>
      <c r="B35" s="414" t="s">
        <v>85</v>
      </c>
      <c r="C35" s="133" t="s">
        <v>105</v>
      </c>
      <c r="D35" s="30" t="s">
        <v>114</v>
      </c>
      <c r="E35" s="30" t="s">
        <v>122</v>
      </c>
      <c r="F35" s="30" t="s">
        <v>130</v>
      </c>
      <c r="G35" s="30" t="s">
        <v>137</v>
      </c>
      <c r="H35" s="30" t="s">
        <v>143</v>
      </c>
      <c r="I35" s="30" t="s">
        <v>148</v>
      </c>
      <c r="J35" s="30" t="s">
        <v>152</v>
      </c>
      <c r="K35" s="30" t="s">
        <v>155</v>
      </c>
      <c r="L35" s="157">
        <v>44</v>
      </c>
      <c r="M35" s="47" t="s">
        <v>46</v>
      </c>
      <c r="N35" s="395" t="s">
        <v>36</v>
      </c>
      <c r="O35" s="43"/>
      <c r="P35" s="416" t="s">
        <v>85</v>
      </c>
      <c r="Q35" s="30" t="s">
        <v>105</v>
      </c>
      <c r="R35" s="30" t="s">
        <v>114</v>
      </c>
      <c r="S35" s="30" t="s">
        <v>122</v>
      </c>
      <c r="T35" s="30" t="s">
        <v>130</v>
      </c>
      <c r="U35" s="30" t="s">
        <v>137</v>
      </c>
      <c r="V35" s="30" t="s">
        <v>143</v>
      </c>
      <c r="W35" s="30" t="s">
        <v>148</v>
      </c>
      <c r="X35" s="30" t="s">
        <v>152</v>
      </c>
      <c r="Y35" s="30" t="s">
        <v>155</v>
      </c>
      <c r="Z35" s="157">
        <v>44</v>
      </c>
      <c r="AA35" s="47" t="s">
        <v>46</v>
      </c>
      <c r="AB35" s="395" t="s">
        <v>36</v>
      </c>
      <c r="AD35" s="141"/>
      <c r="AE35" s="709"/>
      <c r="AF35" s="709"/>
      <c r="AG35" s="709"/>
      <c r="AH35" s="709"/>
      <c r="AI35" s="709"/>
      <c r="AJ35" s="709"/>
      <c r="AK35" s="709"/>
      <c r="AL35" s="709"/>
      <c r="AM35" s="709"/>
      <c r="AN35" s="709"/>
      <c r="AO35" s="709"/>
      <c r="AP35" s="709"/>
    </row>
    <row r="36" spans="1:42" ht="15" customHeight="1">
      <c r="A36" s="43"/>
      <c r="B36" s="414" t="s">
        <v>86</v>
      </c>
      <c r="C36" s="133" t="s">
        <v>106</v>
      </c>
      <c r="D36" s="30" t="s">
        <v>115</v>
      </c>
      <c r="E36" s="30" t="s">
        <v>123</v>
      </c>
      <c r="F36" s="30" t="s">
        <v>131</v>
      </c>
      <c r="G36" s="46" t="s">
        <v>138</v>
      </c>
      <c r="H36" s="46" t="s">
        <v>144</v>
      </c>
      <c r="I36" s="46" t="s">
        <v>149</v>
      </c>
      <c r="J36" s="46" t="s">
        <v>153</v>
      </c>
      <c r="K36" s="46" t="s">
        <v>156</v>
      </c>
      <c r="L36" s="46" t="s">
        <v>158</v>
      </c>
      <c r="M36" s="117">
        <v>33</v>
      </c>
      <c r="N36" s="395" t="s">
        <v>37</v>
      </c>
      <c r="O36" s="43"/>
      <c r="P36" s="416" t="s">
        <v>86</v>
      </c>
      <c r="Q36" s="30" t="s">
        <v>106</v>
      </c>
      <c r="R36" s="30" t="s">
        <v>115</v>
      </c>
      <c r="S36" s="30" t="s">
        <v>123</v>
      </c>
      <c r="T36" s="46" t="s">
        <v>131</v>
      </c>
      <c r="U36" s="46" t="s">
        <v>138</v>
      </c>
      <c r="V36" s="46" t="s">
        <v>144</v>
      </c>
      <c r="W36" s="46" t="s">
        <v>149</v>
      </c>
      <c r="X36" s="46" t="s">
        <v>153</v>
      </c>
      <c r="Y36" s="46" t="s">
        <v>156</v>
      </c>
      <c r="Z36" s="46" t="s">
        <v>158</v>
      </c>
      <c r="AA36" s="157">
        <v>33</v>
      </c>
      <c r="AB36" s="395" t="s">
        <v>37</v>
      </c>
      <c r="AD36" s="141"/>
      <c r="AE36" s="709"/>
      <c r="AF36" s="709"/>
      <c r="AG36" s="709"/>
      <c r="AH36" s="709"/>
      <c r="AI36" s="709"/>
      <c r="AJ36" s="709"/>
      <c r="AK36" s="709"/>
      <c r="AL36" s="709"/>
      <c r="AM36" s="709"/>
      <c r="AN36" s="709"/>
      <c r="AO36" s="709"/>
      <c r="AP36" s="709"/>
    </row>
    <row r="37" spans="1:42" ht="15" customHeight="1" thickBot="1">
      <c r="A37" s="43"/>
      <c r="B37" s="434" t="s">
        <v>87</v>
      </c>
      <c r="C37" s="448" t="s">
        <v>107</v>
      </c>
      <c r="D37" s="427" t="s">
        <v>116</v>
      </c>
      <c r="E37" s="427" t="s">
        <v>124</v>
      </c>
      <c r="F37" s="240" t="s">
        <v>132</v>
      </c>
      <c r="G37" s="240" t="s">
        <v>139</v>
      </c>
      <c r="H37" s="240" t="s">
        <v>145</v>
      </c>
      <c r="I37" s="240" t="s">
        <v>150</v>
      </c>
      <c r="J37" s="240" t="s">
        <v>154</v>
      </c>
      <c r="K37" s="240" t="s">
        <v>157</v>
      </c>
      <c r="L37" s="240" t="s">
        <v>160</v>
      </c>
      <c r="M37" s="240" t="s">
        <v>159</v>
      </c>
      <c r="N37" s="249">
        <v>22</v>
      </c>
      <c r="O37" s="43"/>
      <c r="P37" s="441" t="s">
        <v>87</v>
      </c>
      <c r="Q37" s="427" t="s">
        <v>107</v>
      </c>
      <c r="R37" s="427" t="s">
        <v>116</v>
      </c>
      <c r="S37" s="427" t="s">
        <v>124</v>
      </c>
      <c r="T37" s="240" t="s">
        <v>132</v>
      </c>
      <c r="U37" s="240" t="s">
        <v>139</v>
      </c>
      <c r="V37" s="240" t="s">
        <v>145</v>
      </c>
      <c r="W37" s="240" t="s">
        <v>150</v>
      </c>
      <c r="X37" s="240" t="s">
        <v>154</v>
      </c>
      <c r="Y37" s="240" t="s">
        <v>157</v>
      </c>
      <c r="Z37" s="240" t="s">
        <v>160</v>
      </c>
      <c r="AA37" s="240" t="s">
        <v>159</v>
      </c>
      <c r="AB37" s="442">
        <v>22</v>
      </c>
      <c r="AD37" s="627"/>
      <c r="AE37" s="709"/>
      <c r="AF37" s="709"/>
      <c r="AG37" s="709"/>
      <c r="AH37" s="709"/>
      <c r="AI37" s="709"/>
      <c r="AJ37" s="709"/>
      <c r="AK37" s="709"/>
      <c r="AL37" s="709"/>
      <c r="AM37" s="709"/>
      <c r="AN37" s="709"/>
      <c r="AO37" s="709"/>
      <c r="AP37" s="709"/>
    </row>
    <row r="38" spans="1:42" ht="15" customHeight="1" thickBot="1">
      <c r="A38" s="43"/>
      <c r="O38" s="43"/>
      <c r="AD38" s="141"/>
      <c r="AE38" s="709"/>
      <c r="AF38" s="709"/>
      <c r="AG38" s="709"/>
      <c r="AH38" s="709"/>
      <c r="AI38" s="709"/>
      <c r="AJ38" s="709"/>
      <c r="AK38" s="709"/>
      <c r="AL38" s="709"/>
      <c r="AM38" s="709"/>
      <c r="AN38" s="709"/>
      <c r="AO38" s="709"/>
      <c r="AP38" s="709"/>
    </row>
    <row r="39" spans="1:42" ht="15" customHeight="1">
      <c r="A39" s="43"/>
      <c r="B39" s="449"/>
      <c r="C39" s="697" t="s">
        <v>252</v>
      </c>
      <c r="D39" s="698"/>
      <c r="E39" s="698"/>
      <c r="F39" s="698"/>
      <c r="G39" s="698"/>
      <c r="H39" s="698"/>
      <c r="I39" s="698"/>
      <c r="J39" s="698"/>
      <c r="K39" s="698"/>
      <c r="L39" s="698"/>
      <c r="M39" s="698"/>
      <c r="N39" s="699"/>
      <c r="O39" s="43"/>
      <c r="P39" s="449"/>
      <c r="Q39" s="697" t="s">
        <v>252</v>
      </c>
      <c r="R39" s="698"/>
      <c r="S39" s="698"/>
      <c r="T39" s="698"/>
      <c r="U39" s="698"/>
      <c r="V39" s="698"/>
      <c r="W39" s="698"/>
      <c r="X39" s="698"/>
      <c r="Y39" s="698"/>
      <c r="Z39" s="698"/>
      <c r="AA39" s="698"/>
      <c r="AB39" s="699"/>
      <c r="AD39" s="141"/>
      <c r="AE39" s="709"/>
      <c r="AF39" s="709"/>
      <c r="AG39" s="709"/>
      <c r="AH39" s="709"/>
      <c r="AI39" s="709"/>
      <c r="AJ39" s="709"/>
      <c r="AK39" s="709"/>
      <c r="AL39" s="709"/>
      <c r="AM39" s="709"/>
      <c r="AN39" s="709"/>
      <c r="AO39" s="709"/>
      <c r="AP39" s="709"/>
    </row>
    <row r="40" spans="1:42">
      <c r="B40" s="450"/>
      <c r="C40" s="710" t="s">
        <v>254</v>
      </c>
      <c r="D40" s="711"/>
      <c r="E40" s="711"/>
      <c r="F40" s="711"/>
      <c r="G40" s="711"/>
      <c r="H40" s="711"/>
      <c r="I40" s="711"/>
      <c r="J40" s="711"/>
      <c r="K40" s="711"/>
      <c r="L40" s="711"/>
      <c r="M40" s="711"/>
      <c r="N40" s="712"/>
      <c r="P40" s="450"/>
      <c r="Q40" s="710" t="s">
        <v>254</v>
      </c>
      <c r="R40" s="711"/>
      <c r="S40" s="711"/>
      <c r="T40" s="711"/>
      <c r="U40" s="711"/>
      <c r="V40" s="711"/>
      <c r="W40" s="711"/>
      <c r="X40" s="711"/>
      <c r="Y40" s="711"/>
      <c r="Z40" s="711"/>
      <c r="AA40" s="711"/>
      <c r="AB40" s="712"/>
    </row>
    <row r="41" spans="1:42">
      <c r="B41" s="451"/>
      <c r="C41" s="710" t="s">
        <v>256</v>
      </c>
      <c r="D41" s="711"/>
      <c r="E41" s="711"/>
      <c r="F41" s="711"/>
      <c r="G41" s="711"/>
      <c r="H41" s="711"/>
      <c r="I41" s="711"/>
      <c r="J41" s="711"/>
      <c r="K41" s="711"/>
      <c r="L41" s="711"/>
      <c r="M41" s="711"/>
      <c r="N41" s="712"/>
      <c r="P41" s="454"/>
      <c r="Q41" s="710" t="s">
        <v>257</v>
      </c>
      <c r="R41" s="711"/>
      <c r="S41" s="711"/>
      <c r="T41" s="711"/>
      <c r="U41" s="711"/>
      <c r="V41" s="711"/>
      <c r="W41" s="711"/>
      <c r="X41" s="711"/>
      <c r="Y41" s="711"/>
      <c r="Z41" s="711"/>
      <c r="AA41" s="711"/>
      <c r="AB41" s="712"/>
    </row>
    <row r="42" spans="1:42">
      <c r="B42" s="452"/>
      <c r="C42" s="710" t="s">
        <v>259</v>
      </c>
      <c r="D42" s="711"/>
      <c r="E42" s="711"/>
      <c r="F42" s="711"/>
      <c r="G42" s="711"/>
      <c r="H42" s="711"/>
      <c r="I42" s="711"/>
      <c r="J42" s="711"/>
      <c r="K42" s="711"/>
      <c r="L42" s="711"/>
      <c r="M42" s="711"/>
      <c r="N42" s="712"/>
      <c r="P42" s="455"/>
      <c r="Q42" s="710" t="s">
        <v>260</v>
      </c>
      <c r="R42" s="711"/>
      <c r="S42" s="711"/>
      <c r="T42" s="711"/>
      <c r="U42" s="711"/>
      <c r="V42" s="711"/>
      <c r="W42" s="711"/>
      <c r="X42" s="711"/>
      <c r="Y42" s="711"/>
      <c r="Z42" s="711"/>
      <c r="AA42" s="711"/>
      <c r="AB42" s="712"/>
    </row>
    <row r="43" spans="1:42">
      <c r="B43" s="405"/>
      <c r="C43" s="710" t="s">
        <v>261</v>
      </c>
      <c r="D43" s="711"/>
      <c r="E43" s="711"/>
      <c r="F43" s="711"/>
      <c r="G43" s="711"/>
      <c r="H43" s="711"/>
      <c r="I43" s="711"/>
      <c r="J43" s="711"/>
      <c r="K43" s="711"/>
      <c r="L43" s="711"/>
      <c r="M43" s="711"/>
      <c r="N43" s="712"/>
      <c r="P43" s="451"/>
      <c r="Q43" s="710" t="s">
        <v>262</v>
      </c>
      <c r="R43" s="711"/>
      <c r="S43" s="711"/>
      <c r="T43" s="711"/>
      <c r="U43" s="711"/>
      <c r="V43" s="711"/>
      <c r="W43" s="711"/>
      <c r="X43" s="711"/>
      <c r="Y43" s="711"/>
      <c r="Z43" s="711"/>
      <c r="AA43" s="711"/>
      <c r="AB43" s="712"/>
    </row>
    <row r="44" spans="1:42" ht="15.75" thickBot="1">
      <c r="B44" s="453"/>
      <c r="C44" s="719" t="s">
        <v>263</v>
      </c>
      <c r="D44" s="720"/>
      <c r="E44" s="720"/>
      <c r="F44" s="720"/>
      <c r="G44" s="720"/>
      <c r="H44" s="720"/>
      <c r="I44" s="720"/>
      <c r="J44" s="720"/>
      <c r="K44" s="720"/>
      <c r="L44" s="720"/>
      <c r="M44" s="720"/>
      <c r="N44" s="721"/>
      <c r="P44" s="452"/>
      <c r="Q44" s="710" t="s">
        <v>264</v>
      </c>
      <c r="R44" s="711"/>
      <c r="S44" s="711"/>
      <c r="T44" s="711"/>
      <c r="U44" s="711"/>
      <c r="V44" s="711"/>
      <c r="W44" s="711"/>
      <c r="X44" s="711"/>
      <c r="Y44" s="711"/>
      <c r="Z44" s="711"/>
      <c r="AA44" s="711"/>
      <c r="AB44" s="712"/>
    </row>
    <row r="45" spans="1:42" ht="15.75" thickBot="1">
      <c r="P45" s="456"/>
      <c r="Q45" s="719" t="s">
        <v>261</v>
      </c>
      <c r="R45" s="720"/>
      <c r="S45" s="720"/>
      <c r="T45" s="720"/>
      <c r="U45" s="720"/>
      <c r="V45" s="720"/>
      <c r="W45" s="720"/>
      <c r="X45" s="720"/>
      <c r="Y45" s="720"/>
      <c r="Z45" s="720"/>
      <c r="AA45" s="720"/>
      <c r="AB45" s="721"/>
    </row>
  </sheetData>
  <mergeCells count="53">
    <mergeCell ref="AE14:AP14"/>
    <mergeCell ref="AE26:AP26"/>
    <mergeCell ref="AE32:AP32"/>
    <mergeCell ref="AE27:AP27"/>
    <mergeCell ref="AE28:AP28"/>
    <mergeCell ref="AE29:AP29"/>
    <mergeCell ref="AE30:AP30"/>
    <mergeCell ref="AE31:AP31"/>
    <mergeCell ref="Q45:AB45"/>
    <mergeCell ref="C44:N44"/>
    <mergeCell ref="Q39:AB39"/>
    <mergeCell ref="Q40:AB40"/>
    <mergeCell ref="Q41:AB41"/>
    <mergeCell ref="Q42:AB42"/>
    <mergeCell ref="Q43:AB43"/>
    <mergeCell ref="Q44:AB44"/>
    <mergeCell ref="C39:N39"/>
    <mergeCell ref="C40:N40"/>
    <mergeCell ref="C41:N41"/>
    <mergeCell ref="C42:N42"/>
    <mergeCell ref="C43:N43"/>
    <mergeCell ref="AE38:AP38"/>
    <mergeCell ref="B2:G3"/>
    <mergeCell ref="B24:N24"/>
    <mergeCell ref="B9:N9"/>
    <mergeCell ref="P9:AB9"/>
    <mergeCell ref="P24:AB24"/>
    <mergeCell ref="C5:N5"/>
    <mergeCell ref="C6:N6"/>
    <mergeCell ref="C7:N7"/>
    <mergeCell ref="Q4:AB4"/>
    <mergeCell ref="Q5:AB5"/>
    <mergeCell ref="Q6:AB6"/>
    <mergeCell ref="Q7:AB7"/>
    <mergeCell ref="AE11:AP11"/>
    <mergeCell ref="AE12:AP12"/>
    <mergeCell ref="AE13:AP13"/>
    <mergeCell ref="AE39:AP39"/>
    <mergeCell ref="AE9:AP9"/>
    <mergeCell ref="AE10:AP10"/>
    <mergeCell ref="AE15:AP15"/>
    <mergeCell ref="AE16:AP16"/>
    <mergeCell ref="AE18:AP18"/>
    <mergeCell ref="AE19:AP19"/>
    <mergeCell ref="AE20:AP20"/>
    <mergeCell ref="AE21:AP21"/>
    <mergeCell ref="AE22:AP22"/>
    <mergeCell ref="AE23:AP23"/>
    <mergeCell ref="AE24:AP24"/>
    <mergeCell ref="AE34:AP34"/>
    <mergeCell ref="AE35:AP35"/>
    <mergeCell ref="AE36:AP36"/>
    <mergeCell ref="AE37:AP3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VoltCallSB">
                <anchor moveWithCells="1" sizeWithCells="1">
                  <from>
                    <xdr:col>3</xdr:col>
                    <xdr:colOff>257175</xdr:colOff>
                    <xdr:row>1</xdr:row>
                    <xdr:rowOff>57150</xdr:rowOff>
                  </from>
                  <to>
                    <xdr:col>6</xdr:col>
                    <xdr:colOff>66675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BH58"/>
  <sheetViews>
    <sheetView showGridLines="0" showRowColHeaders="0" zoomScale="90" zoomScaleNormal="90" workbookViewId="0">
      <selection activeCell="AJ11" sqref="AJ11"/>
    </sheetView>
  </sheetViews>
  <sheetFormatPr defaultRowHeight="15"/>
  <cols>
    <col min="1" max="47" width="4.7109375" customWidth="1"/>
  </cols>
  <sheetData>
    <row r="1" spans="2:28" ht="15.75" thickBot="1"/>
    <row r="2" spans="2:28">
      <c r="B2" s="652"/>
      <c r="C2" s="653"/>
      <c r="D2" s="653"/>
      <c r="E2" s="653"/>
      <c r="F2" s="653"/>
      <c r="G2" s="654"/>
      <c r="P2" s="647" t="s">
        <v>240</v>
      </c>
      <c r="Q2" s="648"/>
      <c r="R2" s="648"/>
      <c r="S2" s="648"/>
      <c r="T2" s="648"/>
      <c r="U2" s="648"/>
      <c r="V2" s="648"/>
      <c r="W2" s="648"/>
      <c r="X2" s="648"/>
      <c r="Y2" s="648"/>
      <c r="Z2" s="648"/>
      <c r="AA2" s="648"/>
      <c r="AB2" s="650"/>
    </row>
    <row r="3" spans="2:28" ht="15.75" thickBot="1">
      <c r="B3" s="655"/>
      <c r="C3" s="656"/>
      <c r="D3" s="656"/>
      <c r="E3" s="656"/>
      <c r="F3" s="656"/>
      <c r="G3" s="657"/>
      <c r="P3" s="242" t="s">
        <v>0</v>
      </c>
      <c r="Q3" s="27" t="s">
        <v>5</v>
      </c>
      <c r="R3" s="118" t="s">
        <v>6</v>
      </c>
      <c r="S3" s="116" t="s">
        <v>7</v>
      </c>
      <c r="T3" s="116" t="s">
        <v>8</v>
      </c>
      <c r="U3" s="116" t="s">
        <v>9</v>
      </c>
      <c r="V3" s="144" t="s">
        <v>10</v>
      </c>
      <c r="W3" s="144" t="s">
        <v>11</v>
      </c>
      <c r="X3" s="144" t="s">
        <v>12</v>
      </c>
      <c r="Y3" s="144" t="s">
        <v>13</v>
      </c>
      <c r="Z3" s="144" t="s">
        <v>14</v>
      </c>
      <c r="AA3" s="144" t="s">
        <v>15</v>
      </c>
      <c r="AB3" s="399" t="s">
        <v>16</v>
      </c>
    </row>
    <row r="4" spans="2:28">
      <c r="P4" s="242" t="s">
        <v>76</v>
      </c>
      <c r="Q4" s="27" t="s">
        <v>1</v>
      </c>
      <c r="R4" s="142" t="s">
        <v>95</v>
      </c>
      <c r="S4" s="116" t="s">
        <v>94</v>
      </c>
      <c r="T4" s="116" t="s">
        <v>19</v>
      </c>
      <c r="U4" s="144" t="s">
        <v>20</v>
      </c>
      <c r="V4" s="144" t="s">
        <v>21</v>
      </c>
      <c r="W4" s="144" t="s">
        <v>22</v>
      </c>
      <c r="X4" s="144" t="s">
        <v>23</v>
      </c>
      <c r="Y4" s="144" t="s">
        <v>24</v>
      </c>
      <c r="Z4" s="144" t="s">
        <v>25</v>
      </c>
      <c r="AA4" s="144" t="s">
        <v>26</v>
      </c>
      <c r="AB4" s="399" t="s">
        <v>191</v>
      </c>
    </row>
    <row r="5" spans="2:28" ht="15.75" thickBot="1">
      <c r="P5" s="243" t="s">
        <v>77</v>
      </c>
      <c r="Q5" s="143" t="s">
        <v>17</v>
      </c>
      <c r="R5" s="27" t="s">
        <v>2</v>
      </c>
      <c r="S5" s="142" t="s">
        <v>97</v>
      </c>
      <c r="T5" s="142" t="s">
        <v>92</v>
      </c>
      <c r="U5" s="144" t="s">
        <v>96</v>
      </c>
      <c r="V5" s="144" t="s">
        <v>73</v>
      </c>
      <c r="W5" s="144" t="s">
        <v>68</v>
      </c>
      <c r="X5" s="144" t="s">
        <v>62</v>
      </c>
      <c r="Y5" s="144" t="s">
        <v>55</v>
      </c>
      <c r="Z5" s="144" t="s">
        <v>47</v>
      </c>
      <c r="AA5" s="144" t="s">
        <v>38</v>
      </c>
      <c r="AB5" s="399" t="s">
        <v>30</v>
      </c>
    </row>
    <row r="6" spans="2:28">
      <c r="B6" s="401"/>
      <c r="C6" s="697" t="s">
        <v>162</v>
      </c>
      <c r="D6" s="698"/>
      <c r="E6" s="698"/>
      <c r="F6" s="698"/>
      <c r="G6" s="698"/>
      <c r="H6" s="698"/>
      <c r="I6" s="698"/>
      <c r="J6" s="698"/>
      <c r="K6" s="698"/>
      <c r="L6" s="698"/>
      <c r="M6" s="698"/>
      <c r="N6" s="699"/>
      <c r="P6" s="418" t="s">
        <v>78</v>
      </c>
      <c r="Q6" s="144" t="s">
        <v>18</v>
      </c>
      <c r="R6" s="144" t="s">
        <v>93</v>
      </c>
      <c r="S6" s="27" t="s">
        <v>3</v>
      </c>
      <c r="T6" s="142" t="s">
        <v>91</v>
      </c>
      <c r="U6" s="144" t="s">
        <v>90</v>
      </c>
      <c r="V6" s="144" t="s">
        <v>74</v>
      </c>
      <c r="W6" s="144" t="s">
        <v>69</v>
      </c>
      <c r="X6" s="144" t="s">
        <v>63</v>
      </c>
      <c r="Y6" s="144" t="s">
        <v>56</v>
      </c>
      <c r="Z6" s="144" t="s">
        <v>48</v>
      </c>
      <c r="AA6" s="144" t="s">
        <v>39</v>
      </c>
      <c r="AB6" s="399" t="s">
        <v>28</v>
      </c>
    </row>
    <row r="7" spans="2:28">
      <c r="B7" s="402"/>
      <c r="C7" s="710" t="s">
        <v>231</v>
      </c>
      <c r="D7" s="711"/>
      <c r="E7" s="711"/>
      <c r="F7" s="711"/>
      <c r="G7" s="711"/>
      <c r="H7" s="711"/>
      <c r="I7" s="711"/>
      <c r="J7" s="711"/>
      <c r="K7" s="711"/>
      <c r="L7" s="711"/>
      <c r="M7" s="711"/>
      <c r="N7" s="712"/>
      <c r="P7" s="387" t="s">
        <v>79</v>
      </c>
      <c r="Q7" s="144" t="s">
        <v>98</v>
      </c>
      <c r="R7" s="144" t="s">
        <v>99</v>
      </c>
      <c r="S7" s="144" t="s">
        <v>100</v>
      </c>
      <c r="T7" s="119" t="s">
        <v>4</v>
      </c>
      <c r="U7" s="144" t="s">
        <v>89</v>
      </c>
      <c r="V7" s="144" t="s">
        <v>75</v>
      </c>
      <c r="W7" s="144" t="s">
        <v>70</v>
      </c>
      <c r="X7" s="144" t="s">
        <v>64</v>
      </c>
      <c r="Y7" s="144" t="s">
        <v>57</v>
      </c>
      <c r="Z7" s="144" t="s">
        <v>49</v>
      </c>
      <c r="AA7" s="144" t="s">
        <v>40</v>
      </c>
      <c r="AB7" s="399" t="s">
        <v>29</v>
      </c>
    </row>
    <row r="8" spans="2:28">
      <c r="B8" s="404"/>
      <c r="C8" s="710" t="s">
        <v>223</v>
      </c>
      <c r="D8" s="711"/>
      <c r="E8" s="711"/>
      <c r="F8" s="711"/>
      <c r="G8" s="711"/>
      <c r="H8" s="711"/>
      <c r="I8" s="711"/>
      <c r="J8" s="711"/>
      <c r="K8" s="711"/>
      <c r="L8" s="711"/>
      <c r="M8" s="711"/>
      <c r="N8" s="712"/>
      <c r="P8" s="387" t="s">
        <v>80</v>
      </c>
      <c r="Q8" s="144" t="s">
        <v>101</v>
      </c>
      <c r="R8" s="144" t="s">
        <v>109</v>
      </c>
      <c r="S8" s="144" t="s">
        <v>117</v>
      </c>
      <c r="T8" s="144" t="s">
        <v>125</v>
      </c>
      <c r="U8" s="119">
        <v>99</v>
      </c>
      <c r="V8" s="144" t="s">
        <v>88</v>
      </c>
      <c r="W8" s="144" t="s">
        <v>71</v>
      </c>
      <c r="X8" s="144" t="s">
        <v>65</v>
      </c>
      <c r="Y8" s="144" t="s">
        <v>58</v>
      </c>
      <c r="Z8" s="144" t="s">
        <v>50</v>
      </c>
      <c r="AA8" s="144" t="s">
        <v>41</v>
      </c>
      <c r="AB8" s="399" t="s">
        <v>31</v>
      </c>
    </row>
    <row r="9" spans="2:28">
      <c r="B9" s="410"/>
      <c r="C9" s="710" t="s">
        <v>236</v>
      </c>
      <c r="D9" s="711"/>
      <c r="E9" s="711"/>
      <c r="F9" s="711"/>
      <c r="G9" s="711"/>
      <c r="H9" s="711"/>
      <c r="I9" s="711"/>
      <c r="J9" s="711"/>
      <c r="K9" s="711"/>
      <c r="L9" s="711"/>
      <c r="M9" s="711"/>
      <c r="N9" s="712"/>
      <c r="P9" s="387" t="s">
        <v>81</v>
      </c>
      <c r="Q9" s="144" t="s">
        <v>102</v>
      </c>
      <c r="R9" s="144" t="s">
        <v>110</v>
      </c>
      <c r="S9" s="144" t="s">
        <v>118</v>
      </c>
      <c r="T9" s="144" t="s">
        <v>126</v>
      </c>
      <c r="U9" s="144" t="s">
        <v>133</v>
      </c>
      <c r="V9" s="117">
        <v>88</v>
      </c>
      <c r="W9" s="144" t="s">
        <v>72</v>
      </c>
      <c r="X9" s="144" t="s">
        <v>66</v>
      </c>
      <c r="Y9" s="144" t="s">
        <v>59</v>
      </c>
      <c r="Z9" s="144" t="s">
        <v>51</v>
      </c>
      <c r="AA9" s="144" t="s">
        <v>42</v>
      </c>
      <c r="AB9" s="399" t="s">
        <v>32</v>
      </c>
    </row>
    <row r="10" spans="2:28">
      <c r="B10" s="407"/>
      <c r="C10" s="710" t="s">
        <v>234</v>
      </c>
      <c r="D10" s="711"/>
      <c r="E10" s="711"/>
      <c r="F10" s="711"/>
      <c r="G10" s="711"/>
      <c r="H10" s="711"/>
      <c r="I10" s="711"/>
      <c r="J10" s="711"/>
      <c r="K10" s="711"/>
      <c r="L10" s="711"/>
      <c r="M10" s="711"/>
      <c r="N10" s="712"/>
      <c r="P10" s="387" t="s">
        <v>82</v>
      </c>
      <c r="Q10" s="130" t="s">
        <v>103</v>
      </c>
      <c r="R10" s="46" t="s">
        <v>111</v>
      </c>
      <c r="S10" s="46" t="s">
        <v>119</v>
      </c>
      <c r="T10" s="46" t="s">
        <v>127</v>
      </c>
      <c r="U10" s="144" t="s">
        <v>134</v>
      </c>
      <c r="V10" s="144" t="s">
        <v>140</v>
      </c>
      <c r="W10" s="117">
        <v>77</v>
      </c>
      <c r="X10" s="144" t="s">
        <v>67</v>
      </c>
      <c r="Y10" s="144" t="s">
        <v>60</v>
      </c>
      <c r="Z10" s="144" t="s">
        <v>52</v>
      </c>
      <c r="AA10" s="144" t="s">
        <v>43</v>
      </c>
      <c r="AB10" s="399" t="s">
        <v>33</v>
      </c>
    </row>
    <row r="11" spans="2:28" ht="15.75" thickBot="1">
      <c r="B11" s="417"/>
      <c r="C11" s="719" t="s">
        <v>245</v>
      </c>
      <c r="D11" s="720"/>
      <c r="E11" s="720"/>
      <c r="F11" s="720"/>
      <c r="G11" s="720"/>
      <c r="H11" s="720"/>
      <c r="I11" s="720"/>
      <c r="J11" s="720"/>
      <c r="K11" s="720"/>
      <c r="L11" s="720"/>
      <c r="M11" s="720"/>
      <c r="N11" s="721"/>
      <c r="P11" s="387" t="s">
        <v>83</v>
      </c>
      <c r="Q11" s="130" t="s">
        <v>108</v>
      </c>
      <c r="R11" s="46" t="s">
        <v>112</v>
      </c>
      <c r="S11" s="46" t="s">
        <v>120</v>
      </c>
      <c r="T11" s="46" t="s">
        <v>128</v>
      </c>
      <c r="U11" s="46" t="s">
        <v>135</v>
      </c>
      <c r="V11" s="130" t="s">
        <v>141</v>
      </c>
      <c r="W11" s="144" t="s">
        <v>146</v>
      </c>
      <c r="X11" s="115">
        <v>66</v>
      </c>
      <c r="Y11" s="144" t="s">
        <v>61</v>
      </c>
      <c r="Z11" s="144" t="s">
        <v>53</v>
      </c>
      <c r="AA11" s="144" t="s">
        <v>44</v>
      </c>
      <c r="AB11" s="399" t="s">
        <v>34</v>
      </c>
    </row>
    <row r="12" spans="2:28">
      <c r="P12" s="387" t="s">
        <v>84</v>
      </c>
      <c r="Q12" s="130" t="s">
        <v>104</v>
      </c>
      <c r="R12" s="46" t="s">
        <v>113</v>
      </c>
      <c r="S12" s="46" t="s">
        <v>121</v>
      </c>
      <c r="T12" s="46" t="s">
        <v>129</v>
      </c>
      <c r="U12" s="46" t="s">
        <v>136</v>
      </c>
      <c r="V12" s="46" t="s">
        <v>142</v>
      </c>
      <c r="W12" s="130" t="s">
        <v>147</v>
      </c>
      <c r="X12" s="144" t="s">
        <v>151</v>
      </c>
      <c r="Y12" s="115">
        <v>55</v>
      </c>
      <c r="Z12" s="144" t="s">
        <v>54</v>
      </c>
      <c r="AA12" s="144" t="s">
        <v>45</v>
      </c>
      <c r="AB12" s="399" t="s">
        <v>35</v>
      </c>
    </row>
    <row r="13" spans="2:28">
      <c r="P13" s="387" t="s">
        <v>85</v>
      </c>
      <c r="Q13" s="130" t="s">
        <v>105</v>
      </c>
      <c r="R13" s="46" t="s">
        <v>114</v>
      </c>
      <c r="S13" s="46" t="s">
        <v>122</v>
      </c>
      <c r="T13" s="46" t="s">
        <v>130</v>
      </c>
      <c r="U13" s="46" t="s">
        <v>137</v>
      </c>
      <c r="V13" s="46" t="s">
        <v>143</v>
      </c>
      <c r="W13" s="46" t="s">
        <v>148</v>
      </c>
      <c r="X13" s="46" t="s">
        <v>152</v>
      </c>
      <c r="Y13" s="46" t="s">
        <v>155</v>
      </c>
      <c r="Z13" s="115">
        <v>44</v>
      </c>
      <c r="AA13" s="144" t="s">
        <v>46</v>
      </c>
      <c r="AB13" s="399" t="s">
        <v>36</v>
      </c>
    </row>
    <row r="14" spans="2:28">
      <c r="P14" s="387" t="s">
        <v>86</v>
      </c>
      <c r="Q14" s="46" t="s">
        <v>106</v>
      </c>
      <c r="R14" s="46" t="s">
        <v>115</v>
      </c>
      <c r="S14" s="46" t="s">
        <v>123</v>
      </c>
      <c r="T14" s="46" t="s">
        <v>131</v>
      </c>
      <c r="U14" s="46" t="s">
        <v>138</v>
      </c>
      <c r="V14" s="46" t="s">
        <v>144</v>
      </c>
      <c r="W14" s="46" t="s">
        <v>149</v>
      </c>
      <c r="X14" s="46" t="s">
        <v>153</v>
      </c>
      <c r="Y14" s="46" t="s">
        <v>156</v>
      </c>
      <c r="Z14" s="46" t="s">
        <v>158</v>
      </c>
      <c r="AA14" s="142">
        <v>33</v>
      </c>
      <c r="AB14" s="399" t="s">
        <v>37</v>
      </c>
    </row>
    <row r="15" spans="2:28" ht="15.75" thickBot="1">
      <c r="P15" s="419" t="s">
        <v>87</v>
      </c>
      <c r="Q15" s="240" t="s">
        <v>107</v>
      </c>
      <c r="R15" s="240" t="s">
        <v>116</v>
      </c>
      <c r="S15" s="240" t="s">
        <v>124</v>
      </c>
      <c r="T15" s="240" t="s">
        <v>132</v>
      </c>
      <c r="U15" s="240" t="s">
        <v>139</v>
      </c>
      <c r="V15" s="240" t="s">
        <v>145</v>
      </c>
      <c r="W15" s="240" t="s">
        <v>150</v>
      </c>
      <c r="X15" s="240" t="s">
        <v>154</v>
      </c>
      <c r="Y15" s="240" t="s">
        <v>157</v>
      </c>
      <c r="Z15" s="240" t="s">
        <v>160</v>
      </c>
      <c r="AA15" s="240" t="s">
        <v>159</v>
      </c>
      <c r="AB15" s="420">
        <v>22</v>
      </c>
    </row>
    <row r="16" spans="2:28" ht="15" customHeight="1" thickBot="1"/>
    <row r="17" spans="2:28" ht="15" customHeight="1">
      <c r="B17" s="647" t="s">
        <v>241</v>
      </c>
      <c r="C17" s="648"/>
      <c r="D17" s="648"/>
      <c r="E17" s="648"/>
      <c r="F17" s="648"/>
      <c r="G17" s="648"/>
      <c r="H17" s="648"/>
      <c r="I17" s="648"/>
      <c r="J17" s="648"/>
      <c r="K17" s="648"/>
      <c r="L17" s="648"/>
      <c r="M17" s="648"/>
      <c r="N17" s="649"/>
      <c r="P17" s="647" t="s">
        <v>242</v>
      </c>
      <c r="Q17" s="648"/>
      <c r="R17" s="648"/>
      <c r="S17" s="648"/>
      <c r="T17" s="648"/>
      <c r="U17" s="648"/>
      <c r="V17" s="648"/>
      <c r="W17" s="648"/>
      <c r="X17" s="648"/>
      <c r="Y17" s="648"/>
      <c r="Z17" s="648"/>
      <c r="AA17" s="648"/>
      <c r="AB17" s="650"/>
    </row>
    <row r="18" spans="2:28" ht="15" customHeight="1">
      <c r="B18" s="242" t="s">
        <v>0</v>
      </c>
      <c r="C18" s="27" t="s">
        <v>5</v>
      </c>
      <c r="D18" s="118" t="s">
        <v>6</v>
      </c>
      <c r="E18" s="115" t="s">
        <v>7</v>
      </c>
      <c r="F18" s="115" t="s">
        <v>8</v>
      </c>
      <c r="G18" s="115" t="s">
        <v>9</v>
      </c>
      <c r="H18" s="135" t="s">
        <v>10</v>
      </c>
      <c r="I18" s="135" t="s">
        <v>11</v>
      </c>
      <c r="J18" s="146" t="s">
        <v>12</v>
      </c>
      <c r="K18" s="48" t="s">
        <v>13</v>
      </c>
      <c r="L18" s="146" t="s">
        <v>14</v>
      </c>
      <c r="M18" s="146" t="s">
        <v>15</v>
      </c>
      <c r="N18" s="425" t="s">
        <v>16</v>
      </c>
      <c r="P18" s="242" t="s">
        <v>0</v>
      </c>
      <c r="Q18" s="27" t="s">
        <v>5</v>
      </c>
      <c r="R18" s="118" t="s">
        <v>6</v>
      </c>
      <c r="S18" s="115" t="s">
        <v>7</v>
      </c>
      <c r="T18" s="115" t="s">
        <v>8</v>
      </c>
      <c r="U18" s="115" t="s">
        <v>9</v>
      </c>
      <c r="V18" s="135" t="s">
        <v>10</v>
      </c>
      <c r="W18" s="135" t="s">
        <v>11</v>
      </c>
      <c r="X18" s="135" t="s">
        <v>12</v>
      </c>
      <c r="Y18" s="48" t="s">
        <v>13</v>
      </c>
      <c r="Z18" s="135" t="s">
        <v>14</v>
      </c>
      <c r="AA18" s="135" t="s">
        <v>15</v>
      </c>
      <c r="AB18" s="421" t="s">
        <v>16</v>
      </c>
    </row>
    <row r="19" spans="2:28" ht="15" customHeight="1">
      <c r="B19" s="242" t="s">
        <v>76</v>
      </c>
      <c r="C19" s="27" t="s">
        <v>1</v>
      </c>
      <c r="D19" s="27" t="s">
        <v>95</v>
      </c>
      <c r="E19" s="27" t="s">
        <v>94</v>
      </c>
      <c r="F19" s="145" t="s">
        <v>19</v>
      </c>
      <c r="G19" s="145" t="s">
        <v>20</v>
      </c>
      <c r="H19" s="144" t="s">
        <v>21</v>
      </c>
      <c r="I19" s="144" t="s">
        <v>22</v>
      </c>
      <c r="J19" s="144" t="s">
        <v>23</v>
      </c>
      <c r="K19" s="144" t="s">
        <v>24</v>
      </c>
      <c r="L19" s="144" t="s">
        <v>25</v>
      </c>
      <c r="M19" s="144" t="s">
        <v>26</v>
      </c>
      <c r="N19" s="394" t="s">
        <v>191</v>
      </c>
      <c r="P19" s="242" t="s">
        <v>76</v>
      </c>
      <c r="Q19" s="27" t="s">
        <v>1</v>
      </c>
      <c r="R19" s="115" t="s">
        <v>95</v>
      </c>
      <c r="S19" s="115" t="s">
        <v>94</v>
      </c>
      <c r="T19" s="115" t="s">
        <v>19</v>
      </c>
      <c r="U19" s="137" t="s">
        <v>20</v>
      </c>
      <c r="V19" s="144" t="s">
        <v>21</v>
      </c>
      <c r="W19" s="144" t="s">
        <v>22</v>
      </c>
      <c r="X19" s="144" t="s">
        <v>23</v>
      </c>
      <c r="Y19" s="144" t="s">
        <v>24</v>
      </c>
      <c r="Z19" s="144" t="s">
        <v>25</v>
      </c>
      <c r="AA19" s="144" t="s">
        <v>26</v>
      </c>
      <c r="AB19" s="399" t="s">
        <v>191</v>
      </c>
    </row>
    <row r="20" spans="2:28" ht="15" customHeight="1">
      <c r="B20" s="243" t="s">
        <v>77</v>
      </c>
      <c r="C20" s="135" t="s">
        <v>17</v>
      </c>
      <c r="D20" s="27" t="s">
        <v>2</v>
      </c>
      <c r="E20" s="145" t="s">
        <v>97</v>
      </c>
      <c r="F20" s="145" t="s">
        <v>92</v>
      </c>
      <c r="G20" s="145" t="s">
        <v>96</v>
      </c>
      <c r="H20" s="144" t="s">
        <v>73</v>
      </c>
      <c r="I20" s="144" t="s">
        <v>68</v>
      </c>
      <c r="J20" s="144" t="s">
        <v>62</v>
      </c>
      <c r="K20" s="144" t="s">
        <v>55</v>
      </c>
      <c r="L20" s="144" t="s">
        <v>47</v>
      </c>
      <c r="M20" s="144" t="s">
        <v>38</v>
      </c>
      <c r="N20" s="399" t="s">
        <v>30</v>
      </c>
      <c r="P20" s="243" t="s">
        <v>77</v>
      </c>
      <c r="Q20" s="118" t="s">
        <v>17</v>
      </c>
      <c r="R20" s="27" t="s">
        <v>2</v>
      </c>
      <c r="S20" s="117" t="s">
        <v>97</v>
      </c>
      <c r="T20" s="117" t="s">
        <v>92</v>
      </c>
      <c r="U20" s="137" t="s">
        <v>96</v>
      </c>
      <c r="V20" s="144" t="s">
        <v>73</v>
      </c>
      <c r="W20" s="144" t="s">
        <v>68</v>
      </c>
      <c r="X20" s="144" t="s">
        <v>62</v>
      </c>
      <c r="Y20" s="144" t="s">
        <v>55</v>
      </c>
      <c r="Z20" s="144" t="s">
        <v>47</v>
      </c>
      <c r="AA20" s="144" t="s">
        <v>38</v>
      </c>
      <c r="AB20" s="399" t="s">
        <v>30</v>
      </c>
    </row>
    <row r="21" spans="2:28" ht="15" customHeight="1">
      <c r="B21" s="244" t="s">
        <v>78</v>
      </c>
      <c r="C21" s="48" t="s">
        <v>18</v>
      </c>
      <c r="D21" s="144" t="s">
        <v>93</v>
      </c>
      <c r="E21" s="27" t="s">
        <v>3</v>
      </c>
      <c r="F21" s="145" t="s">
        <v>91</v>
      </c>
      <c r="G21" s="145" t="s">
        <v>90</v>
      </c>
      <c r="H21" s="145" t="s">
        <v>74</v>
      </c>
      <c r="I21" s="144" t="s">
        <v>69</v>
      </c>
      <c r="J21" s="144" t="s">
        <v>63</v>
      </c>
      <c r="K21" s="144" t="s">
        <v>56</v>
      </c>
      <c r="L21" s="144" t="s">
        <v>48</v>
      </c>
      <c r="M21" s="144" t="s">
        <v>39</v>
      </c>
      <c r="N21" s="399" t="s">
        <v>28</v>
      </c>
      <c r="P21" s="244" t="s">
        <v>78</v>
      </c>
      <c r="Q21" s="48" t="s">
        <v>18</v>
      </c>
      <c r="R21" s="144" t="s">
        <v>93</v>
      </c>
      <c r="S21" s="27" t="s">
        <v>3</v>
      </c>
      <c r="T21" s="117" t="s">
        <v>91</v>
      </c>
      <c r="U21" s="137" t="s">
        <v>90</v>
      </c>
      <c r="V21" s="137" t="s">
        <v>74</v>
      </c>
      <c r="W21" s="144" t="s">
        <v>69</v>
      </c>
      <c r="X21" s="144" t="s">
        <v>63</v>
      </c>
      <c r="Y21" s="144" t="s">
        <v>56</v>
      </c>
      <c r="Z21" s="144" t="s">
        <v>48</v>
      </c>
      <c r="AA21" s="144" t="s">
        <v>39</v>
      </c>
      <c r="AB21" s="399" t="s">
        <v>28</v>
      </c>
    </row>
    <row r="22" spans="2:28" ht="15" customHeight="1">
      <c r="B22" s="248" t="s">
        <v>79</v>
      </c>
      <c r="C22" s="144" t="s">
        <v>98</v>
      </c>
      <c r="D22" s="144" t="s">
        <v>99</v>
      </c>
      <c r="E22" s="144" t="s">
        <v>100</v>
      </c>
      <c r="F22" s="119" t="s">
        <v>4</v>
      </c>
      <c r="G22" s="145" t="s">
        <v>89</v>
      </c>
      <c r="H22" s="144" t="s">
        <v>75</v>
      </c>
      <c r="I22" s="144" t="s">
        <v>70</v>
      </c>
      <c r="J22" s="144" t="s">
        <v>64</v>
      </c>
      <c r="K22" s="144" t="s">
        <v>57</v>
      </c>
      <c r="L22" s="144" t="s">
        <v>49</v>
      </c>
      <c r="M22" s="144" t="s">
        <v>40</v>
      </c>
      <c r="N22" s="399" t="s">
        <v>29</v>
      </c>
      <c r="P22" s="248" t="s">
        <v>79</v>
      </c>
      <c r="Q22" s="144" t="s">
        <v>98</v>
      </c>
      <c r="R22" s="144" t="s">
        <v>99</v>
      </c>
      <c r="S22" s="144" t="s">
        <v>100</v>
      </c>
      <c r="T22" s="119" t="s">
        <v>4</v>
      </c>
      <c r="U22" s="137" t="s">
        <v>89</v>
      </c>
      <c r="V22" s="144" t="s">
        <v>75</v>
      </c>
      <c r="W22" s="144" t="s">
        <v>70</v>
      </c>
      <c r="X22" s="144" t="s">
        <v>64</v>
      </c>
      <c r="Y22" s="144" t="s">
        <v>57</v>
      </c>
      <c r="Z22" s="144" t="s">
        <v>49</v>
      </c>
      <c r="AA22" s="144" t="s">
        <v>40</v>
      </c>
      <c r="AB22" s="399" t="s">
        <v>29</v>
      </c>
    </row>
    <row r="23" spans="2:28" ht="15" customHeight="1">
      <c r="B23" s="422" t="s">
        <v>80</v>
      </c>
      <c r="C23" s="144" t="s">
        <v>101</v>
      </c>
      <c r="D23" s="144" t="s">
        <v>109</v>
      </c>
      <c r="E23" s="144" t="s">
        <v>117</v>
      </c>
      <c r="F23" s="144" t="s">
        <v>125</v>
      </c>
      <c r="G23" s="119">
        <v>99</v>
      </c>
      <c r="H23" s="145" t="s">
        <v>88</v>
      </c>
      <c r="I23" s="144" t="s">
        <v>71</v>
      </c>
      <c r="J23" s="144" t="s">
        <v>65</v>
      </c>
      <c r="K23" s="144" t="s">
        <v>58</v>
      </c>
      <c r="L23" s="144" t="s">
        <v>50</v>
      </c>
      <c r="M23" s="144" t="s">
        <v>41</v>
      </c>
      <c r="N23" s="399" t="s">
        <v>31</v>
      </c>
      <c r="P23" s="422" t="s">
        <v>80</v>
      </c>
      <c r="Q23" s="144" t="s">
        <v>101</v>
      </c>
      <c r="R23" s="144" t="s">
        <v>109</v>
      </c>
      <c r="S23" s="144" t="s">
        <v>117</v>
      </c>
      <c r="T23" s="144" t="s">
        <v>125</v>
      </c>
      <c r="U23" s="119">
        <v>99</v>
      </c>
      <c r="V23" s="137" t="s">
        <v>88</v>
      </c>
      <c r="W23" s="144" t="s">
        <v>71</v>
      </c>
      <c r="X23" s="144" t="s">
        <v>65</v>
      </c>
      <c r="Y23" s="144" t="s">
        <v>58</v>
      </c>
      <c r="Z23" s="144" t="s">
        <v>50</v>
      </c>
      <c r="AA23" s="144" t="s">
        <v>41</v>
      </c>
      <c r="AB23" s="399" t="s">
        <v>31</v>
      </c>
    </row>
    <row r="24" spans="2:28" ht="15" customHeight="1">
      <c r="B24" s="387" t="s">
        <v>81</v>
      </c>
      <c r="C24" s="144" t="s">
        <v>102</v>
      </c>
      <c r="D24" s="144" t="s">
        <v>110</v>
      </c>
      <c r="E24" s="144" t="s">
        <v>118</v>
      </c>
      <c r="F24" s="144" t="s">
        <v>126</v>
      </c>
      <c r="G24" s="144" t="s">
        <v>133</v>
      </c>
      <c r="H24" s="117">
        <v>88</v>
      </c>
      <c r="I24" s="144" t="s">
        <v>72</v>
      </c>
      <c r="J24" s="144" t="s">
        <v>66</v>
      </c>
      <c r="K24" s="144" t="s">
        <v>59</v>
      </c>
      <c r="L24" s="144" t="s">
        <v>51</v>
      </c>
      <c r="M24" s="144" t="s">
        <v>42</v>
      </c>
      <c r="N24" s="399" t="s">
        <v>32</v>
      </c>
      <c r="P24" s="422" t="s">
        <v>81</v>
      </c>
      <c r="Q24" s="144" t="s">
        <v>102</v>
      </c>
      <c r="R24" s="144" t="s">
        <v>110</v>
      </c>
      <c r="S24" s="144" t="s">
        <v>118</v>
      </c>
      <c r="T24" s="144" t="s">
        <v>126</v>
      </c>
      <c r="U24" s="144" t="s">
        <v>133</v>
      </c>
      <c r="V24" s="117">
        <v>88</v>
      </c>
      <c r="W24" s="144" t="s">
        <v>72</v>
      </c>
      <c r="X24" s="144" t="s">
        <v>66</v>
      </c>
      <c r="Y24" s="144" t="s">
        <v>59</v>
      </c>
      <c r="Z24" s="144" t="s">
        <v>51</v>
      </c>
      <c r="AA24" s="144" t="s">
        <v>42</v>
      </c>
      <c r="AB24" s="399" t="s">
        <v>32</v>
      </c>
    </row>
    <row r="25" spans="2:28" ht="15" customHeight="1">
      <c r="B25" s="387" t="s">
        <v>82</v>
      </c>
      <c r="C25" s="144" t="s">
        <v>103</v>
      </c>
      <c r="D25" s="130" t="s">
        <v>111</v>
      </c>
      <c r="E25" s="130" t="s">
        <v>119</v>
      </c>
      <c r="F25" s="130" t="s">
        <v>127</v>
      </c>
      <c r="G25" s="144" t="s">
        <v>134</v>
      </c>
      <c r="H25" s="144" t="s">
        <v>140</v>
      </c>
      <c r="I25" s="117">
        <v>77</v>
      </c>
      <c r="J25" s="144" t="s">
        <v>67</v>
      </c>
      <c r="K25" s="144" t="s">
        <v>60</v>
      </c>
      <c r="L25" s="144" t="s">
        <v>52</v>
      </c>
      <c r="M25" s="144" t="s">
        <v>43</v>
      </c>
      <c r="N25" s="399" t="s">
        <v>33</v>
      </c>
      <c r="P25" s="422" t="s">
        <v>82</v>
      </c>
      <c r="Q25" s="144" t="s">
        <v>103</v>
      </c>
      <c r="R25" s="144" t="s">
        <v>111</v>
      </c>
      <c r="S25" s="144" t="s">
        <v>119</v>
      </c>
      <c r="T25" s="144" t="s">
        <v>127</v>
      </c>
      <c r="U25" s="144" t="s">
        <v>134</v>
      </c>
      <c r="V25" s="144" t="s">
        <v>140</v>
      </c>
      <c r="W25" s="117">
        <v>77</v>
      </c>
      <c r="X25" s="144" t="s">
        <v>67</v>
      </c>
      <c r="Y25" s="144" t="s">
        <v>60</v>
      </c>
      <c r="Z25" s="144" t="s">
        <v>52</v>
      </c>
      <c r="AA25" s="144" t="s">
        <v>43</v>
      </c>
      <c r="AB25" s="399" t="s">
        <v>33</v>
      </c>
    </row>
    <row r="26" spans="2:28" ht="15" customHeight="1">
      <c r="B26" s="387" t="s">
        <v>83</v>
      </c>
      <c r="C26" s="144" t="s">
        <v>108</v>
      </c>
      <c r="D26" s="130" t="s">
        <v>112</v>
      </c>
      <c r="E26" s="46" t="s">
        <v>120</v>
      </c>
      <c r="F26" s="46" t="s">
        <v>128</v>
      </c>
      <c r="G26" s="144" t="s">
        <v>135</v>
      </c>
      <c r="H26" s="144" t="s">
        <v>141</v>
      </c>
      <c r="I26" s="144" t="s">
        <v>146</v>
      </c>
      <c r="J26" s="117">
        <v>66</v>
      </c>
      <c r="K26" s="144" t="s">
        <v>61</v>
      </c>
      <c r="L26" s="144" t="s">
        <v>53</v>
      </c>
      <c r="M26" s="144" t="s">
        <v>44</v>
      </c>
      <c r="N26" s="399" t="s">
        <v>34</v>
      </c>
      <c r="P26" s="422" t="s">
        <v>83</v>
      </c>
      <c r="Q26" s="144" t="s">
        <v>108</v>
      </c>
      <c r="R26" s="130" t="s">
        <v>112</v>
      </c>
      <c r="S26" s="46" t="s">
        <v>120</v>
      </c>
      <c r="T26" s="46" t="s">
        <v>128</v>
      </c>
      <c r="U26" s="144" t="s">
        <v>135</v>
      </c>
      <c r="V26" s="144" t="s">
        <v>141</v>
      </c>
      <c r="W26" s="144" t="s">
        <v>146</v>
      </c>
      <c r="X26" s="117">
        <v>66</v>
      </c>
      <c r="Y26" s="144" t="s">
        <v>61</v>
      </c>
      <c r="Z26" s="144" t="s">
        <v>53</v>
      </c>
      <c r="AA26" s="144" t="s">
        <v>44</v>
      </c>
      <c r="AB26" s="399" t="s">
        <v>34</v>
      </c>
    </row>
    <row r="27" spans="2:28" ht="15" customHeight="1">
      <c r="B27" s="387" t="s">
        <v>84</v>
      </c>
      <c r="C27" s="144" t="s">
        <v>104</v>
      </c>
      <c r="D27" s="46" t="s">
        <v>113</v>
      </c>
      <c r="E27" s="46" t="s">
        <v>121</v>
      </c>
      <c r="F27" s="46" t="s">
        <v>129</v>
      </c>
      <c r="G27" s="46" t="s">
        <v>136</v>
      </c>
      <c r="H27" s="130" t="s">
        <v>142</v>
      </c>
      <c r="I27" s="144" t="s">
        <v>147</v>
      </c>
      <c r="J27" s="144" t="s">
        <v>151</v>
      </c>
      <c r="K27" s="117">
        <v>55</v>
      </c>
      <c r="L27" s="144" t="s">
        <v>54</v>
      </c>
      <c r="M27" s="144" t="s">
        <v>45</v>
      </c>
      <c r="N27" s="399" t="s">
        <v>35</v>
      </c>
      <c r="P27" s="422" t="s">
        <v>84</v>
      </c>
      <c r="Q27" s="144" t="s">
        <v>104</v>
      </c>
      <c r="R27" s="130" t="s">
        <v>113</v>
      </c>
      <c r="S27" s="46" t="s">
        <v>121</v>
      </c>
      <c r="T27" s="46" t="s">
        <v>129</v>
      </c>
      <c r="U27" s="46" t="s">
        <v>136</v>
      </c>
      <c r="V27" s="130" t="s">
        <v>142</v>
      </c>
      <c r="W27" s="144" t="s">
        <v>147</v>
      </c>
      <c r="X27" s="144" t="s">
        <v>151</v>
      </c>
      <c r="Y27" s="117">
        <v>55</v>
      </c>
      <c r="Z27" s="144" t="s">
        <v>54</v>
      </c>
      <c r="AA27" s="144" t="s">
        <v>45</v>
      </c>
      <c r="AB27" s="399" t="s">
        <v>35</v>
      </c>
    </row>
    <row r="28" spans="2:28" ht="15" customHeight="1">
      <c r="B28" s="387" t="s">
        <v>85</v>
      </c>
      <c r="C28" s="130" t="s">
        <v>105</v>
      </c>
      <c r="D28" s="46" t="s">
        <v>114</v>
      </c>
      <c r="E28" s="46" t="s">
        <v>122</v>
      </c>
      <c r="F28" s="46" t="s">
        <v>130</v>
      </c>
      <c r="G28" s="46" t="s">
        <v>137</v>
      </c>
      <c r="H28" s="46" t="s">
        <v>143</v>
      </c>
      <c r="I28" s="130" t="s">
        <v>148</v>
      </c>
      <c r="J28" s="144" t="s">
        <v>152</v>
      </c>
      <c r="K28" s="144" t="s">
        <v>155</v>
      </c>
      <c r="L28" s="117">
        <v>44</v>
      </c>
      <c r="M28" s="144" t="s">
        <v>46</v>
      </c>
      <c r="N28" s="399" t="s">
        <v>36</v>
      </c>
      <c r="P28" s="387" t="s">
        <v>85</v>
      </c>
      <c r="Q28" s="130" t="s">
        <v>105</v>
      </c>
      <c r="R28" s="46" t="s">
        <v>114</v>
      </c>
      <c r="S28" s="46" t="s">
        <v>122</v>
      </c>
      <c r="T28" s="46" t="s">
        <v>130</v>
      </c>
      <c r="U28" s="46" t="s">
        <v>137</v>
      </c>
      <c r="V28" s="46" t="s">
        <v>143</v>
      </c>
      <c r="W28" s="130" t="s">
        <v>148</v>
      </c>
      <c r="X28" s="144" t="s">
        <v>152</v>
      </c>
      <c r="Y28" s="144" t="s">
        <v>155</v>
      </c>
      <c r="Z28" s="117">
        <v>44</v>
      </c>
      <c r="AA28" s="144" t="s">
        <v>46</v>
      </c>
      <c r="AB28" s="399" t="s">
        <v>36</v>
      </c>
    </row>
    <row r="29" spans="2:28" ht="15" customHeight="1">
      <c r="B29" s="387" t="s">
        <v>86</v>
      </c>
      <c r="C29" s="130" t="s">
        <v>106</v>
      </c>
      <c r="D29" s="46" t="s">
        <v>115</v>
      </c>
      <c r="E29" s="46" t="s">
        <v>123</v>
      </c>
      <c r="F29" s="46" t="s">
        <v>131</v>
      </c>
      <c r="G29" s="46" t="s">
        <v>138</v>
      </c>
      <c r="H29" s="46" t="s">
        <v>144</v>
      </c>
      <c r="I29" s="46" t="s">
        <v>149</v>
      </c>
      <c r="J29" s="46" t="s">
        <v>153</v>
      </c>
      <c r="K29" s="144" t="s">
        <v>156</v>
      </c>
      <c r="L29" s="144" t="s">
        <v>158</v>
      </c>
      <c r="M29" s="117">
        <v>33</v>
      </c>
      <c r="N29" s="399" t="s">
        <v>37</v>
      </c>
      <c r="P29" s="387" t="s">
        <v>86</v>
      </c>
      <c r="Q29" s="130" t="s">
        <v>106</v>
      </c>
      <c r="R29" s="46" t="s">
        <v>115</v>
      </c>
      <c r="S29" s="46" t="s">
        <v>123</v>
      </c>
      <c r="T29" s="46" t="s">
        <v>131</v>
      </c>
      <c r="U29" s="46" t="s">
        <v>138</v>
      </c>
      <c r="V29" s="46" t="s">
        <v>144</v>
      </c>
      <c r="W29" s="46" t="s">
        <v>149</v>
      </c>
      <c r="X29" s="46" t="s">
        <v>153</v>
      </c>
      <c r="Y29" s="144" t="s">
        <v>156</v>
      </c>
      <c r="Z29" s="144" t="s">
        <v>158</v>
      </c>
      <c r="AA29" s="117">
        <v>33</v>
      </c>
      <c r="AB29" s="399" t="s">
        <v>37</v>
      </c>
    </row>
    <row r="30" spans="2:28" ht="15" customHeight="1" thickBot="1">
      <c r="B30" s="419" t="s">
        <v>87</v>
      </c>
      <c r="C30" s="396" t="s">
        <v>107</v>
      </c>
      <c r="D30" s="240" t="s">
        <v>116</v>
      </c>
      <c r="E30" s="240" t="s">
        <v>124</v>
      </c>
      <c r="F30" s="240" t="s">
        <v>132</v>
      </c>
      <c r="G30" s="240" t="s">
        <v>139</v>
      </c>
      <c r="H30" s="240" t="s">
        <v>145</v>
      </c>
      <c r="I30" s="240" t="s">
        <v>150</v>
      </c>
      <c r="J30" s="240" t="s">
        <v>154</v>
      </c>
      <c r="K30" s="240" t="s">
        <v>157</v>
      </c>
      <c r="L30" s="240" t="s">
        <v>160</v>
      </c>
      <c r="M30" s="240" t="s">
        <v>159</v>
      </c>
      <c r="N30" s="249">
        <v>22</v>
      </c>
      <c r="P30" s="419" t="s">
        <v>87</v>
      </c>
      <c r="Q30" s="396" t="s">
        <v>107</v>
      </c>
      <c r="R30" s="240" t="s">
        <v>116</v>
      </c>
      <c r="S30" s="240" t="s">
        <v>124</v>
      </c>
      <c r="T30" s="240" t="s">
        <v>132</v>
      </c>
      <c r="U30" s="240" t="s">
        <v>139</v>
      </c>
      <c r="V30" s="240" t="s">
        <v>145</v>
      </c>
      <c r="W30" s="240" t="s">
        <v>150</v>
      </c>
      <c r="X30" s="240" t="s">
        <v>154</v>
      </c>
      <c r="Y30" s="240" t="s">
        <v>157</v>
      </c>
      <c r="Z30" s="240" t="s">
        <v>160</v>
      </c>
      <c r="AA30" s="240" t="s">
        <v>159</v>
      </c>
      <c r="AB30" s="249">
        <v>22</v>
      </c>
    </row>
    <row r="31" spans="2:28" ht="15" customHeight="1" thickBot="1"/>
    <row r="32" spans="2:28" ht="15" customHeight="1">
      <c r="B32" s="647" t="s">
        <v>243</v>
      </c>
      <c r="C32" s="648"/>
      <c r="D32" s="648"/>
      <c r="E32" s="648"/>
      <c r="F32" s="648"/>
      <c r="G32" s="648"/>
      <c r="H32" s="648"/>
      <c r="I32" s="648"/>
      <c r="J32" s="648"/>
      <c r="K32" s="648"/>
      <c r="L32" s="648"/>
      <c r="M32" s="648"/>
      <c r="N32" s="650"/>
      <c r="P32" s="647" t="s">
        <v>244</v>
      </c>
      <c r="Q32" s="648"/>
      <c r="R32" s="648"/>
      <c r="S32" s="648"/>
      <c r="T32" s="648"/>
      <c r="U32" s="648"/>
      <c r="V32" s="648"/>
      <c r="W32" s="648"/>
      <c r="X32" s="648"/>
      <c r="Y32" s="648"/>
      <c r="Z32" s="648"/>
      <c r="AA32" s="648"/>
      <c r="AB32" s="650"/>
    </row>
    <row r="33" spans="2:60" ht="15" customHeight="1">
      <c r="B33" s="242" t="s">
        <v>0</v>
      </c>
      <c r="C33" s="27" t="s">
        <v>5</v>
      </c>
      <c r="D33" s="118" t="s">
        <v>6</v>
      </c>
      <c r="E33" s="118" t="s">
        <v>7</v>
      </c>
      <c r="F33" s="118" t="s">
        <v>8</v>
      </c>
      <c r="G33" s="115" t="s">
        <v>9</v>
      </c>
      <c r="H33" s="135" t="s">
        <v>10</v>
      </c>
      <c r="I33" s="135" t="s">
        <v>11</v>
      </c>
      <c r="J33" s="135" t="s">
        <v>12</v>
      </c>
      <c r="K33" s="48" t="s">
        <v>13</v>
      </c>
      <c r="L33" s="135" t="s">
        <v>14</v>
      </c>
      <c r="M33" s="135" t="s">
        <v>15</v>
      </c>
      <c r="N33" s="421" t="s">
        <v>16</v>
      </c>
      <c r="P33" s="242" t="s">
        <v>0</v>
      </c>
      <c r="Q33" s="27" t="s">
        <v>5</v>
      </c>
      <c r="R33" s="118" t="s">
        <v>6</v>
      </c>
      <c r="S33" s="118" t="s">
        <v>7</v>
      </c>
      <c r="T33" s="118" t="s">
        <v>8</v>
      </c>
      <c r="U33" s="115" t="s">
        <v>9</v>
      </c>
      <c r="V33" s="138" t="s">
        <v>10</v>
      </c>
      <c r="W33" s="138" t="s">
        <v>11</v>
      </c>
      <c r="X33" s="138" t="s">
        <v>12</v>
      </c>
      <c r="Y33" s="48" t="s">
        <v>13</v>
      </c>
      <c r="Z33" s="138" t="s">
        <v>14</v>
      </c>
      <c r="AA33" s="138" t="s">
        <v>15</v>
      </c>
      <c r="AB33" s="423" t="s">
        <v>16</v>
      </c>
    </row>
    <row r="34" spans="2:60" ht="15" customHeight="1">
      <c r="B34" s="242" t="s">
        <v>76</v>
      </c>
      <c r="C34" s="27" t="s">
        <v>1</v>
      </c>
      <c r="D34" s="115" t="s">
        <v>95</v>
      </c>
      <c r="E34" s="115" t="s">
        <v>94</v>
      </c>
      <c r="F34" s="115" t="s">
        <v>19</v>
      </c>
      <c r="G34" s="137" t="s">
        <v>20</v>
      </c>
      <c r="H34" s="137" t="s">
        <v>21</v>
      </c>
      <c r="I34" s="137" t="s">
        <v>22</v>
      </c>
      <c r="J34" s="144" t="s">
        <v>23</v>
      </c>
      <c r="K34" s="144" t="s">
        <v>24</v>
      </c>
      <c r="L34" s="144" t="s">
        <v>25</v>
      </c>
      <c r="M34" s="144" t="s">
        <v>26</v>
      </c>
      <c r="N34" s="399" t="s">
        <v>191</v>
      </c>
      <c r="P34" s="242" t="s">
        <v>76</v>
      </c>
      <c r="Q34" s="27" t="s">
        <v>1</v>
      </c>
      <c r="R34" s="115" t="s">
        <v>95</v>
      </c>
      <c r="S34" s="115" t="s">
        <v>94</v>
      </c>
      <c r="T34" s="115" t="s">
        <v>19</v>
      </c>
      <c r="U34" s="139" t="s">
        <v>20</v>
      </c>
      <c r="V34" s="139" t="s">
        <v>21</v>
      </c>
      <c r="W34" s="139" t="s">
        <v>22</v>
      </c>
      <c r="X34" s="48" t="s">
        <v>23</v>
      </c>
      <c r="Y34" s="48" t="s">
        <v>24</v>
      </c>
      <c r="Z34" s="144" t="s">
        <v>25</v>
      </c>
      <c r="AA34" s="144" t="s">
        <v>26</v>
      </c>
      <c r="AB34" s="399" t="s">
        <v>191</v>
      </c>
    </row>
    <row r="35" spans="2:60" ht="15" customHeight="1">
      <c r="B35" s="243" t="s">
        <v>77</v>
      </c>
      <c r="C35" s="118" t="s">
        <v>17</v>
      </c>
      <c r="D35" s="27" t="s">
        <v>2</v>
      </c>
      <c r="E35" s="115" t="s">
        <v>97</v>
      </c>
      <c r="F35" s="115" t="s">
        <v>92</v>
      </c>
      <c r="G35" s="137" t="s">
        <v>96</v>
      </c>
      <c r="H35" s="137" t="s">
        <v>73</v>
      </c>
      <c r="I35" s="144" t="s">
        <v>68</v>
      </c>
      <c r="J35" s="144" t="s">
        <v>62</v>
      </c>
      <c r="K35" s="144" t="s">
        <v>55</v>
      </c>
      <c r="L35" s="144" t="s">
        <v>47</v>
      </c>
      <c r="M35" s="144" t="s">
        <v>38</v>
      </c>
      <c r="N35" s="399" t="s">
        <v>30</v>
      </c>
      <c r="P35" s="243" t="s">
        <v>77</v>
      </c>
      <c r="Q35" s="118" t="s">
        <v>17</v>
      </c>
      <c r="R35" s="27" t="s">
        <v>2</v>
      </c>
      <c r="S35" s="115" t="s">
        <v>97</v>
      </c>
      <c r="T35" s="115" t="s">
        <v>92</v>
      </c>
      <c r="U35" s="139" t="s">
        <v>96</v>
      </c>
      <c r="V35" s="139" t="s">
        <v>73</v>
      </c>
      <c r="W35" s="137" t="s">
        <v>68</v>
      </c>
      <c r="X35" s="144" t="s">
        <v>62</v>
      </c>
      <c r="Y35" s="144" t="s">
        <v>55</v>
      </c>
      <c r="Z35" s="144" t="s">
        <v>47</v>
      </c>
      <c r="AA35" s="144" t="s">
        <v>38</v>
      </c>
      <c r="AB35" s="399" t="s">
        <v>30</v>
      </c>
    </row>
    <row r="36" spans="2:60" ht="15" customHeight="1">
      <c r="B36" s="242" t="s">
        <v>78</v>
      </c>
      <c r="C36" s="48" t="s">
        <v>18</v>
      </c>
      <c r="D36" s="144" t="s">
        <v>93</v>
      </c>
      <c r="E36" s="27" t="s">
        <v>3</v>
      </c>
      <c r="F36" s="117" t="s">
        <v>91</v>
      </c>
      <c r="G36" s="137" t="s">
        <v>90</v>
      </c>
      <c r="H36" s="137" t="s">
        <v>74</v>
      </c>
      <c r="I36" s="144" t="s">
        <v>69</v>
      </c>
      <c r="J36" s="144" t="s">
        <v>63</v>
      </c>
      <c r="K36" s="144" t="s">
        <v>56</v>
      </c>
      <c r="L36" s="144" t="s">
        <v>48</v>
      </c>
      <c r="M36" s="144" t="s">
        <v>39</v>
      </c>
      <c r="N36" s="399" t="s">
        <v>28</v>
      </c>
      <c r="P36" s="242" t="s">
        <v>78</v>
      </c>
      <c r="Q36" s="122" t="s">
        <v>18</v>
      </c>
      <c r="R36" s="122" t="s">
        <v>93</v>
      </c>
      <c r="S36" s="27" t="s">
        <v>3</v>
      </c>
      <c r="T36" s="115" t="s">
        <v>91</v>
      </c>
      <c r="U36" s="139" t="s">
        <v>90</v>
      </c>
      <c r="V36" s="139" t="s">
        <v>74</v>
      </c>
      <c r="W36" s="137" t="s">
        <v>69</v>
      </c>
      <c r="X36" s="144" t="s">
        <v>63</v>
      </c>
      <c r="Y36" s="144" t="s">
        <v>56</v>
      </c>
      <c r="Z36" s="144" t="s">
        <v>48</v>
      </c>
      <c r="AA36" s="144" t="s">
        <v>39</v>
      </c>
      <c r="AB36" s="399" t="s">
        <v>28</v>
      </c>
    </row>
    <row r="37" spans="2:60" ht="15" customHeight="1">
      <c r="B37" s="242" t="s">
        <v>79</v>
      </c>
      <c r="C37" s="144" t="s">
        <v>98</v>
      </c>
      <c r="D37" s="144" t="s">
        <v>99</v>
      </c>
      <c r="E37" s="144" t="s">
        <v>100</v>
      </c>
      <c r="F37" s="119" t="s">
        <v>4</v>
      </c>
      <c r="G37" s="137" t="s">
        <v>89</v>
      </c>
      <c r="H37" s="137" t="s">
        <v>75</v>
      </c>
      <c r="I37" s="144" t="s">
        <v>70</v>
      </c>
      <c r="J37" s="144" t="s">
        <v>64</v>
      </c>
      <c r="K37" s="144" t="s">
        <v>57</v>
      </c>
      <c r="L37" s="144" t="s">
        <v>49</v>
      </c>
      <c r="M37" s="144" t="s">
        <v>40</v>
      </c>
      <c r="N37" s="399" t="s">
        <v>29</v>
      </c>
      <c r="P37" s="242" t="s">
        <v>79</v>
      </c>
      <c r="Q37" s="122" t="s">
        <v>98</v>
      </c>
      <c r="R37" s="144" t="s">
        <v>99</v>
      </c>
      <c r="S37" s="144" t="s">
        <v>100</v>
      </c>
      <c r="T37" s="119" t="s">
        <v>4</v>
      </c>
      <c r="U37" s="139" t="s">
        <v>89</v>
      </c>
      <c r="V37" s="139" t="s">
        <v>75</v>
      </c>
      <c r="W37" s="144" t="s">
        <v>70</v>
      </c>
      <c r="X37" s="144" t="s">
        <v>64</v>
      </c>
      <c r="Y37" s="144" t="s">
        <v>57</v>
      </c>
      <c r="Z37" s="144" t="s">
        <v>49</v>
      </c>
      <c r="AA37" s="144" t="s">
        <v>40</v>
      </c>
      <c r="AB37" s="399" t="s">
        <v>29</v>
      </c>
    </row>
    <row r="38" spans="2:60" ht="15" customHeight="1">
      <c r="B38" s="242" t="s">
        <v>80</v>
      </c>
      <c r="C38" s="144" t="s">
        <v>101</v>
      </c>
      <c r="D38" s="144" t="s">
        <v>109</v>
      </c>
      <c r="E38" s="144" t="s">
        <v>117</v>
      </c>
      <c r="F38" s="144" t="s">
        <v>125</v>
      </c>
      <c r="G38" s="119">
        <v>99</v>
      </c>
      <c r="H38" s="137" t="s">
        <v>88</v>
      </c>
      <c r="I38" s="144" t="s">
        <v>71</v>
      </c>
      <c r="J38" s="144" t="s">
        <v>65</v>
      </c>
      <c r="K38" s="144" t="s">
        <v>58</v>
      </c>
      <c r="L38" s="144" t="s">
        <v>50</v>
      </c>
      <c r="M38" s="144" t="s">
        <v>41</v>
      </c>
      <c r="N38" s="399" t="s">
        <v>31</v>
      </c>
      <c r="P38" s="242" t="s">
        <v>80</v>
      </c>
      <c r="Q38" s="144" t="s">
        <v>101</v>
      </c>
      <c r="R38" s="144" t="s">
        <v>109</v>
      </c>
      <c r="S38" s="144" t="s">
        <v>117</v>
      </c>
      <c r="T38" s="144" t="s">
        <v>125</v>
      </c>
      <c r="U38" s="119">
        <v>99</v>
      </c>
      <c r="V38" s="139" t="s">
        <v>88</v>
      </c>
      <c r="W38" s="144" t="s">
        <v>71</v>
      </c>
      <c r="X38" s="144" t="s">
        <v>65</v>
      </c>
      <c r="Y38" s="144" t="s">
        <v>58</v>
      </c>
      <c r="Z38" s="144" t="s">
        <v>50</v>
      </c>
      <c r="AA38" s="144" t="s">
        <v>41</v>
      </c>
      <c r="AB38" s="399" t="s">
        <v>31</v>
      </c>
    </row>
    <row r="39" spans="2:60" ht="15" customHeight="1">
      <c r="B39" s="422" t="s">
        <v>81</v>
      </c>
      <c r="C39" s="144" t="s">
        <v>102</v>
      </c>
      <c r="D39" s="144" t="s">
        <v>110</v>
      </c>
      <c r="E39" s="144" t="s">
        <v>118</v>
      </c>
      <c r="F39" s="144" t="s">
        <v>126</v>
      </c>
      <c r="G39" s="144" t="s">
        <v>133</v>
      </c>
      <c r="H39" s="117">
        <v>88</v>
      </c>
      <c r="I39" s="144" t="s">
        <v>72</v>
      </c>
      <c r="J39" s="144" t="s">
        <v>66</v>
      </c>
      <c r="K39" s="144" t="s">
        <v>59</v>
      </c>
      <c r="L39" s="144" t="s">
        <v>51</v>
      </c>
      <c r="M39" s="144" t="s">
        <v>42</v>
      </c>
      <c r="N39" s="399" t="s">
        <v>32</v>
      </c>
      <c r="P39" s="424" t="s">
        <v>81</v>
      </c>
      <c r="Q39" s="144" t="s">
        <v>102</v>
      </c>
      <c r="R39" s="144" t="s">
        <v>110</v>
      </c>
      <c r="S39" s="144" t="s">
        <v>118</v>
      </c>
      <c r="T39" s="144" t="s">
        <v>126</v>
      </c>
      <c r="U39" s="144" t="s">
        <v>133</v>
      </c>
      <c r="V39" s="117">
        <v>88</v>
      </c>
      <c r="W39" s="144" t="s">
        <v>72</v>
      </c>
      <c r="X39" s="144" t="s">
        <v>66</v>
      </c>
      <c r="Y39" s="144" t="s">
        <v>59</v>
      </c>
      <c r="Z39" s="144" t="s">
        <v>51</v>
      </c>
      <c r="AA39" s="144" t="s">
        <v>42</v>
      </c>
      <c r="AB39" s="399" t="s">
        <v>32</v>
      </c>
    </row>
    <row r="40" spans="2:60" ht="15" customHeight="1">
      <c r="B40" s="422" t="s">
        <v>82</v>
      </c>
      <c r="C40" s="144" t="s">
        <v>103</v>
      </c>
      <c r="D40" s="144" t="s">
        <v>111</v>
      </c>
      <c r="E40" s="144" t="s">
        <v>119</v>
      </c>
      <c r="F40" s="144" t="s">
        <v>127</v>
      </c>
      <c r="G40" s="144" t="s">
        <v>134</v>
      </c>
      <c r="H40" s="144" t="s">
        <v>140</v>
      </c>
      <c r="I40" s="117">
        <v>77</v>
      </c>
      <c r="J40" s="144" t="s">
        <v>67</v>
      </c>
      <c r="K40" s="144" t="s">
        <v>60</v>
      </c>
      <c r="L40" s="144" t="s">
        <v>52</v>
      </c>
      <c r="M40" s="144" t="s">
        <v>43</v>
      </c>
      <c r="N40" s="399" t="s">
        <v>33</v>
      </c>
      <c r="P40" s="424" t="s">
        <v>82</v>
      </c>
      <c r="Q40" s="144" t="s">
        <v>103</v>
      </c>
      <c r="R40" s="144" t="s">
        <v>111</v>
      </c>
      <c r="S40" s="144" t="s">
        <v>119</v>
      </c>
      <c r="T40" s="144" t="s">
        <v>127</v>
      </c>
      <c r="U40" s="144" t="s">
        <v>134</v>
      </c>
      <c r="V40" s="144" t="s">
        <v>140</v>
      </c>
      <c r="W40" s="117">
        <v>77</v>
      </c>
      <c r="X40" s="144" t="s">
        <v>67</v>
      </c>
      <c r="Y40" s="144" t="s">
        <v>60</v>
      </c>
      <c r="Z40" s="144" t="s">
        <v>52</v>
      </c>
      <c r="AA40" s="144" t="s">
        <v>43</v>
      </c>
      <c r="AB40" s="399" t="s">
        <v>33</v>
      </c>
      <c r="AV40" s="58"/>
      <c r="AW40" s="58"/>
      <c r="AX40" s="58"/>
      <c r="AY40" s="58"/>
      <c r="AZ40" s="58"/>
      <c r="BA40" s="58"/>
      <c r="BB40" s="58"/>
      <c r="BC40" s="58"/>
      <c r="BD40" s="58"/>
      <c r="BE40" s="58"/>
      <c r="BF40" s="58"/>
      <c r="BG40" s="58"/>
      <c r="BH40" s="58"/>
    </row>
    <row r="41" spans="2:60" ht="15" customHeight="1">
      <c r="B41" s="422" t="s">
        <v>83</v>
      </c>
      <c r="C41" s="144" t="s">
        <v>108</v>
      </c>
      <c r="D41" s="144" t="s">
        <v>112</v>
      </c>
      <c r="E41" s="46" t="s">
        <v>120</v>
      </c>
      <c r="F41" s="130" t="s">
        <v>128</v>
      </c>
      <c r="G41" s="144" t="s">
        <v>135</v>
      </c>
      <c r="H41" s="144" t="s">
        <v>141</v>
      </c>
      <c r="I41" s="144" t="s">
        <v>146</v>
      </c>
      <c r="J41" s="117">
        <v>66</v>
      </c>
      <c r="K41" s="144" t="s">
        <v>61</v>
      </c>
      <c r="L41" s="144" t="s">
        <v>53</v>
      </c>
      <c r="M41" s="144" t="s">
        <v>44</v>
      </c>
      <c r="N41" s="399" t="s">
        <v>34</v>
      </c>
      <c r="P41" s="424" t="s">
        <v>83</v>
      </c>
      <c r="Q41" s="144" t="s">
        <v>108</v>
      </c>
      <c r="R41" s="144" t="s">
        <v>112</v>
      </c>
      <c r="S41" s="144" t="s">
        <v>120</v>
      </c>
      <c r="T41" s="144" t="s">
        <v>128</v>
      </c>
      <c r="U41" s="144" t="s">
        <v>135</v>
      </c>
      <c r="V41" s="144" t="s">
        <v>141</v>
      </c>
      <c r="W41" s="144" t="s">
        <v>146</v>
      </c>
      <c r="X41" s="117">
        <v>66</v>
      </c>
      <c r="Y41" s="144" t="s">
        <v>61</v>
      </c>
      <c r="Z41" s="144" t="s">
        <v>53</v>
      </c>
      <c r="AA41" s="144" t="s">
        <v>44</v>
      </c>
      <c r="AB41" s="399" t="s">
        <v>34</v>
      </c>
      <c r="AV41" s="58"/>
      <c r="AW41" s="58"/>
      <c r="AX41" s="58"/>
      <c r="AY41" s="58"/>
      <c r="AZ41" s="58"/>
      <c r="BA41" s="58"/>
      <c r="BB41" s="58"/>
      <c r="BC41" s="58"/>
      <c r="BD41" s="58"/>
      <c r="BE41" s="58"/>
      <c r="BF41" s="58"/>
      <c r="BG41" s="58"/>
      <c r="BH41" s="58"/>
    </row>
    <row r="42" spans="2:60" ht="15" customHeight="1">
      <c r="B42" s="422" t="s">
        <v>84</v>
      </c>
      <c r="C42" s="144" t="s">
        <v>104</v>
      </c>
      <c r="D42" s="144" t="s">
        <v>113</v>
      </c>
      <c r="E42" s="46" t="s">
        <v>121</v>
      </c>
      <c r="F42" s="46" t="s">
        <v>129</v>
      </c>
      <c r="G42" s="46" t="s">
        <v>136</v>
      </c>
      <c r="H42" s="130" t="s">
        <v>142</v>
      </c>
      <c r="I42" s="144" t="s">
        <v>147</v>
      </c>
      <c r="J42" s="144" t="s">
        <v>151</v>
      </c>
      <c r="K42" s="117">
        <v>55</v>
      </c>
      <c r="L42" s="144" t="s">
        <v>54</v>
      </c>
      <c r="M42" s="144" t="s">
        <v>45</v>
      </c>
      <c r="N42" s="399" t="s">
        <v>35</v>
      </c>
      <c r="P42" s="424" t="s">
        <v>84</v>
      </c>
      <c r="Q42" s="144" t="s">
        <v>104</v>
      </c>
      <c r="R42" s="144" t="s">
        <v>113</v>
      </c>
      <c r="S42" s="130" t="s">
        <v>121</v>
      </c>
      <c r="T42" s="130" t="s">
        <v>129</v>
      </c>
      <c r="U42" s="46" t="s">
        <v>136</v>
      </c>
      <c r="V42" s="144" t="s">
        <v>142</v>
      </c>
      <c r="W42" s="144" t="s">
        <v>147</v>
      </c>
      <c r="X42" s="144" t="s">
        <v>151</v>
      </c>
      <c r="Y42" s="117">
        <v>55</v>
      </c>
      <c r="Z42" s="144" t="s">
        <v>54</v>
      </c>
      <c r="AA42" s="144" t="s">
        <v>45</v>
      </c>
      <c r="AB42" s="399" t="s">
        <v>35</v>
      </c>
      <c r="AV42" s="58"/>
      <c r="AW42" s="58"/>
      <c r="AX42" s="140"/>
      <c r="AY42" s="731"/>
      <c r="AZ42" s="731"/>
      <c r="BA42" s="731"/>
      <c r="BB42" s="731"/>
      <c r="BC42" s="731"/>
      <c r="BD42" s="731"/>
      <c r="BE42" s="731"/>
      <c r="BF42" s="731"/>
      <c r="BG42" s="731"/>
      <c r="BH42" s="731"/>
    </row>
    <row r="43" spans="2:60" ht="15" customHeight="1">
      <c r="B43" s="387" t="s">
        <v>85</v>
      </c>
      <c r="C43" s="144" t="s">
        <v>105</v>
      </c>
      <c r="D43" s="130" t="s">
        <v>114</v>
      </c>
      <c r="E43" s="46" t="s">
        <v>122</v>
      </c>
      <c r="F43" s="46" t="s">
        <v>130</v>
      </c>
      <c r="G43" s="46" t="s">
        <v>137</v>
      </c>
      <c r="H43" s="46" t="s">
        <v>143</v>
      </c>
      <c r="I43" s="130" t="s">
        <v>148</v>
      </c>
      <c r="J43" s="144" t="s">
        <v>152</v>
      </c>
      <c r="K43" s="144" t="s">
        <v>155</v>
      </c>
      <c r="L43" s="117">
        <v>44</v>
      </c>
      <c r="M43" s="144" t="s">
        <v>46</v>
      </c>
      <c r="N43" s="399" t="s">
        <v>36</v>
      </c>
      <c r="P43" s="387" t="s">
        <v>85</v>
      </c>
      <c r="Q43" s="144" t="s">
        <v>105</v>
      </c>
      <c r="R43" s="144" t="s">
        <v>114</v>
      </c>
      <c r="S43" s="130" t="s">
        <v>122</v>
      </c>
      <c r="T43" s="46" t="s">
        <v>130</v>
      </c>
      <c r="U43" s="46" t="s">
        <v>137</v>
      </c>
      <c r="V43" s="46" t="s">
        <v>143</v>
      </c>
      <c r="W43" s="130" t="s">
        <v>148</v>
      </c>
      <c r="X43" s="144" t="s">
        <v>152</v>
      </c>
      <c r="Y43" s="144" t="s">
        <v>155</v>
      </c>
      <c r="Z43" s="117">
        <v>44</v>
      </c>
      <c r="AA43" s="144" t="s">
        <v>46</v>
      </c>
      <c r="AB43" s="399" t="s">
        <v>36</v>
      </c>
      <c r="AV43" s="58"/>
      <c r="AW43" s="58"/>
      <c r="AX43" s="58"/>
      <c r="AY43" s="58"/>
      <c r="AZ43" s="58"/>
      <c r="BA43" s="58"/>
      <c r="BB43" s="58"/>
      <c r="BC43" s="58"/>
      <c r="BD43" s="58"/>
      <c r="BE43" s="58"/>
      <c r="BF43" s="58"/>
      <c r="BG43" s="58"/>
      <c r="BH43" s="58"/>
    </row>
    <row r="44" spans="2:60" ht="15" customHeight="1">
      <c r="B44" s="387" t="s">
        <v>86</v>
      </c>
      <c r="C44" s="144" t="s">
        <v>106</v>
      </c>
      <c r="D44" s="46" t="s">
        <v>115</v>
      </c>
      <c r="E44" s="46" t="s">
        <v>123</v>
      </c>
      <c r="F44" s="46" t="s">
        <v>131</v>
      </c>
      <c r="G44" s="46" t="s">
        <v>138</v>
      </c>
      <c r="H44" s="46" t="s">
        <v>144</v>
      </c>
      <c r="I44" s="46" t="s">
        <v>149</v>
      </c>
      <c r="J44" s="46" t="s">
        <v>153</v>
      </c>
      <c r="K44" s="144" t="s">
        <v>156</v>
      </c>
      <c r="L44" s="144" t="s">
        <v>158</v>
      </c>
      <c r="M44" s="117">
        <v>33</v>
      </c>
      <c r="N44" s="399" t="s">
        <v>37</v>
      </c>
      <c r="P44" s="387" t="s">
        <v>86</v>
      </c>
      <c r="Q44" s="144" t="s">
        <v>106</v>
      </c>
      <c r="R44" s="144" t="s">
        <v>115</v>
      </c>
      <c r="S44" s="130" t="s">
        <v>123</v>
      </c>
      <c r="T44" s="46" t="s">
        <v>131</v>
      </c>
      <c r="U44" s="46" t="s">
        <v>138</v>
      </c>
      <c r="V44" s="46" t="s">
        <v>144</v>
      </c>
      <c r="W44" s="46" t="s">
        <v>149</v>
      </c>
      <c r="X44" s="130" t="s">
        <v>153</v>
      </c>
      <c r="Y44" s="144" t="s">
        <v>156</v>
      </c>
      <c r="Z44" s="144" t="s">
        <v>158</v>
      </c>
      <c r="AA44" s="117">
        <v>33</v>
      </c>
      <c r="AB44" s="399" t="s">
        <v>37</v>
      </c>
      <c r="AV44" s="58"/>
      <c r="AW44" s="58"/>
      <c r="AX44" s="141"/>
      <c r="AY44" s="651"/>
      <c r="AZ44" s="651"/>
      <c r="BA44" s="651"/>
      <c r="BB44" s="651"/>
      <c r="BC44" s="651"/>
      <c r="BD44" s="651"/>
      <c r="BE44" s="651"/>
      <c r="BF44" s="651"/>
      <c r="BG44" s="651"/>
      <c r="BH44" s="651"/>
    </row>
    <row r="45" spans="2:60" ht="15" customHeight="1" thickBot="1">
      <c r="B45" s="419" t="s">
        <v>87</v>
      </c>
      <c r="C45" s="398" t="s">
        <v>107</v>
      </c>
      <c r="D45" s="240" t="s">
        <v>116</v>
      </c>
      <c r="E45" s="240" t="s">
        <v>124</v>
      </c>
      <c r="F45" s="240" t="s">
        <v>132</v>
      </c>
      <c r="G45" s="240" t="s">
        <v>139</v>
      </c>
      <c r="H45" s="240" t="s">
        <v>145</v>
      </c>
      <c r="I45" s="240" t="s">
        <v>150</v>
      </c>
      <c r="J45" s="240" t="s">
        <v>154</v>
      </c>
      <c r="K45" s="240" t="s">
        <v>157</v>
      </c>
      <c r="L45" s="240" t="s">
        <v>160</v>
      </c>
      <c r="M45" s="240" t="s">
        <v>159</v>
      </c>
      <c r="N45" s="249">
        <v>22</v>
      </c>
      <c r="P45" s="419" t="s">
        <v>87</v>
      </c>
      <c r="Q45" s="398" t="s">
        <v>107</v>
      </c>
      <c r="R45" s="398" t="s">
        <v>116</v>
      </c>
      <c r="S45" s="396" t="s">
        <v>124</v>
      </c>
      <c r="T45" s="240" t="s">
        <v>132</v>
      </c>
      <c r="U45" s="240" t="s">
        <v>139</v>
      </c>
      <c r="V45" s="240" t="s">
        <v>145</v>
      </c>
      <c r="W45" s="240" t="s">
        <v>150</v>
      </c>
      <c r="X45" s="240" t="s">
        <v>154</v>
      </c>
      <c r="Y45" s="240" t="s">
        <v>157</v>
      </c>
      <c r="Z45" s="240" t="s">
        <v>160</v>
      </c>
      <c r="AA45" s="240" t="s">
        <v>159</v>
      </c>
      <c r="AB45" s="249">
        <v>22</v>
      </c>
      <c r="AV45" s="58"/>
      <c r="AW45" s="58"/>
      <c r="AX45" s="140"/>
      <c r="AY45" s="731"/>
      <c r="AZ45" s="731"/>
      <c r="BA45" s="731"/>
      <c r="BB45" s="731"/>
      <c r="BC45" s="731"/>
      <c r="BD45" s="731"/>
      <c r="BE45" s="731"/>
      <c r="BF45" s="731"/>
      <c r="BG45" s="731"/>
      <c r="BH45" s="731"/>
    </row>
    <row r="46" spans="2:60" ht="15" customHeight="1">
      <c r="AV46" s="58"/>
      <c r="AW46" s="58"/>
      <c r="AX46" s="58"/>
      <c r="AY46" s="58"/>
      <c r="AZ46" s="58"/>
      <c r="BA46" s="58"/>
      <c r="BB46" s="58"/>
      <c r="BC46" s="58"/>
      <c r="BD46" s="58"/>
      <c r="BE46" s="58"/>
      <c r="BF46" s="58"/>
      <c r="BG46" s="58"/>
      <c r="BH46" s="58"/>
    </row>
    <row r="47" spans="2:60" ht="15" customHeight="1">
      <c r="AV47" s="58"/>
      <c r="AW47" s="58"/>
      <c r="AX47" s="140"/>
      <c r="AY47" s="731"/>
      <c r="AZ47" s="731"/>
      <c r="BA47" s="731"/>
      <c r="BB47" s="731"/>
      <c r="BC47" s="731"/>
      <c r="BD47" s="731"/>
      <c r="BE47" s="731"/>
      <c r="BF47" s="731"/>
      <c r="BG47" s="731"/>
      <c r="BH47" s="731"/>
    </row>
    <row r="48" spans="2:60" ht="15" customHeight="1">
      <c r="AV48" s="58"/>
      <c r="AW48" s="58"/>
      <c r="AX48" s="140"/>
      <c r="AY48" s="731"/>
      <c r="AZ48" s="731"/>
      <c r="BA48" s="731"/>
      <c r="BB48" s="731"/>
      <c r="BC48" s="731"/>
      <c r="BD48" s="731"/>
      <c r="BE48" s="731"/>
      <c r="BF48" s="731"/>
      <c r="BG48" s="731"/>
      <c r="BH48" s="731"/>
    </row>
    <row r="49" spans="48:60" ht="15" customHeight="1">
      <c r="AV49" s="58"/>
      <c r="AW49" s="58"/>
      <c r="AX49" s="58"/>
      <c r="AY49" s="58"/>
      <c r="AZ49" s="58"/>
      <c r="BA49" s="58"/>
      <c r="BB49" s="58"/>
      <c r="BC49" s="58"/>
      <c r="BD49" s="58"/>
      <c r="BE49" s="58"/>
      <c r="BF49" s="58"/>
      <c r="BG49" s="58"/>
      <c r="BH49" s="58"/>
    </row>
    <row r="50" spans="48:60" ht="15" customHeight="1">
      <c r="AV50" s="58"/>
      <c r="AW50" s="58"/>
      <c r="AX50" s="140"/>
      <c r="AY50" s="731"/>
      <c r="AZ50" s="731"/>
      <c r="BA50" s="731"/>
      <c r="BB50" s="731"/>
      <c r="BC50" s="731"/>
      <c r="BD50" s="731"/>
      <c r="BE50" s="731"/>
      <c r="BF50" s="731"/>
      <c r="BG50" s="731"/>
      <c r="BH50" s="731"/>
    </row>
    <row r="51" spans="48:60" ht="15" customHeight="1">
      <c r="AV51" s="58"/>
      <c r="AW51" s="58"/>
      <c r="AX51" s="58"/>
      <c r="AY51" s="58"/>
      <c r="AZ51" s="58"/>
      <c r="BA51" s="58"/>
      <c r="BB51" s="58"/>
      <c r="BC51" s="58"/>
      <c r="BD51" s="58"/>
      <c r="BE51" s="58"/>
      <c r="BF51" s="58"/>
      <c r="BG51" s="58"/>
      <c r="BH51" s="58"/>
    </row>
    <row r="52" spans="48:60" ht="15" customHeight="1"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</row>
    <row r="53" spans="48:60" ht="15" customHeight="1">
      <c r="AV53" s="58"/>
      <c r="AW53" s="58"/>
      <c r="AX53" s="58"/>
      <c r="AY53" s="58"/>
      <c r="AZ53" s="58"/>
      <c r="BA53" s="58"/>
      <c r="BB53" s="58"/>
      <c r="BC53" s="58"/>
      <c r="BD53" s="58"/>
      <c r="BE53" s="58"/>
      <c r="BF53" s="58"/>
      <c r="BG53" s="58"/>
      <c r="BH53" s="58"/>
    </row>
    <row r="54" spans="48:60" ht="15" customHeight="1">
      <c r="AV54" s="58"/>
      <c r="AW54" s="58"/>
      <c r="AX54" s="58"/>
      <c r="AY54" s="58"/>
      <c r="AZ54" s="58"/>
      <c r="BA54" s="58"/>
      <c r="BB54" s="58"/>
      <c r="BC54" s="58"/>
      <c r="BD54" s="58"/>
      <c r="BE54" s="58"/>
      <c r="BF54" s="58"/>
      <c r="BG54" s="58"/>
      <c r="BH54" s="58"/>
    </row>
    <row r="55" spans="48:60" ht="15" customHeight="1"/>
    <row r="56" spans="48:60" ht="15" customHeight="1"/>
    <row r="57" spans="48:60" ht="15" customHeight="1"/>
    <row r="58" spans="48:60" ht="15" customHeight="1"/>
  </sheetData>
  <mergeCells count="18">
    <mergeCell ref="AY44:BH44"/>
    <mergeCell ref="AY50:BH50"/>
    <mergeCell ref="AY45:BH45"/>
    <mergeCell ref="P32:AB32"/>
    <mergeCell ref="B32:N32"/>
    <mergeCell ref="AY47:BH47"/>
    <mergeCell ref="AY48:BH48"/>
    <mergeCell ref="AY42:BH42"/>
    <mergeCell ref="C11:N11"/>
    <mergeCell ref="P2:AB2"/>
    <mergeCell ref="B17:N17"/>
    <mergeCell ref="P17:AB17"/>
    <mergeCell ref="B2:G3"/>
    <mergeCell ref="C6:N6"/>
    <mergeCell ref="C7:N7"/>
    <mergeCell ref="C8:N8"/>
    <mergeCell ref="C9:N9"/>
    <mergeCell ref="C10:N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VoltCallBU">
                <anchor moveWithCells="1" sizeWithCells="1">
                  <from>
                    <xdr:col>3</xdr:col>
                    <xdr:colOff>161925</xdr:colOff>
                    <xdr:row>1</xdr:row>
                    <xdr:rowOff>66675</xdr:rowOff>
                  </from>
                  <to>
                    <xdr:col>6</xdr:col>
                    <xdr:colOff>38100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BA55"/>
  <sheetViews>
    <sheetView showGridLines="0" showRowColHeaders="0" zoomScale="80" zoomScaleNormal="80" workbookViewId="0">
      <selection activeCell="P2" sqref="P2:AB2"/>
    </sheetView>
  </sheetViews>
  <sheetFormatPr defaultRowHeight="15"/>
  <cols>
    <col min="1" max="1" width="3.5703125" customWidth="1"/>
    <col min="2" max="45" width="4.7109375" customWidth="1"/>
  </cols>
  <sheetData>
    <row r="1" spans="2:28" ht="15.75" thickBot="1"/>
    <row r="2" spans="2:28">
      <c r="B2" s="652"/>
      <c r="C2" s="653"/>
      <c r="D2" s="653"/>
      <c r="E2" s="653"/>
      <c r="F2" s="653"/>
      <c r="G2" s="654"/>
      <c r="P2" s="647" t="s">
        <v>228</v>
      </c>
      <c r="Q2" s="648"/>
      <c r="R2" s="648"/>
      <c r="S2" s="648"/>
      <c r="T2" s="648"/>
      <c r="U2" s="648"/>
      <c r="V2" s="648"/>
      <c r="W2" s="648"/>
      <c r="X2" s="648"/>
      <c r="Y2" s="648"/>
      <c r="Z2" s="648"/>
      <c r="AA2" s="648"/>
      <c r="AB2" s="650"/>
    </row>
    <row r="3" spans="2:28" ht="15.75" thickBot="1">
      <c r="B3" s="655"/>
      <c r="C3" s="656"/>
      <c r="D3" s="656"/>
      <c r="E3" s="656"/>
      <c r="F3" s="656"/>
      <c r="G3" s="657"/>
      <c r="P3" s="242" t="s">
        <v>0</v>
      </c>
      <c r="Q3" s="27" t="s">
        <v>5</v>
      </c>
      <c r="R3" s="118" t="s">
        <v>6</v>
      </c>
      <c r="S3" s="115" t="s">
        <v>7</v>
      </c>
      <c r="T3" s="115" t="s">
        <v>8</v>
      </c>
      <c r="U3" s="142" t="s">
        <v>9</v>
      </c>
      <c r="V3" s="144" t="s">
        <v>10</v>
      </c>
      <c r="W3" s="144" t="s">
        <v>11</v>
      </c>
      <c r="X3" s="46" t="s">
        <v>12</v>
      </c>
      <c r="Y3" s="144" t="s">
        <v>13</v>
      </c>
      <c r="Z3" s="46" t="s">
        <v>14</v>
      </c>
      <c r="AA3" s="46" t="s">
        <v>15</v>
      </c>
      <c r="AB3" s="234" t="s">
        <v>16</v>
      </c>
    </row>
    <row r="4" spans="2:28" ht="15.75" thickBot="1">
      <c r="P4" s="242" t="s">
        <v>76</v>
      </c>
      <c r="Q4" s="27" t="s">
        <v>1</v>
      </c>
      <c r="R4" s="115" t="s">
        <v>95</v>
      </c>
      <c r="S4" s="142" t="s">
        <v>94</v>
      </c>
      <c r="T4" s="142" t="s">
        <v>19</v>
      </c>
      <c r="U4" s="144" t="s">
        <v>20</v>
      </c>
      <c r="V4" s="46" t="s">
        <v>21</v>
      </c>
      <c r="W4" s="46" t="s">
        <v>22</v>
      </c>
      <c r="X4" s="46" t="s">
        <v>23</v>
      </c>
      <c r="Y4" s="46" t="s">
        <v>24</v>
      </c>
      <c r="Z4" s="46" t="s">
        <v>25</v>
      </c>
      <c r="AA4" s="46" t="s">
        <v>26</v>
      </c>
      <c r="AB4" s="234" t="s">
        <v>191</v>
      </c>
    </row>
    <row r="5" spans="2:28">
      <c r="B5" s="401"/>
      <c r="C5" s="706" t="s">
        <v>162</v>
      </c>
      <c r="D5" s="707"/>
      <c r="E5" s="707"/>
      <c r="F5" s="707"/>
      <c r="G5" s="707"/>
      <c r="H5" s="707"/>
      <c r="I5" s="707"/>
      <c r="J5" s="707"/>
      <c r="K5" s="707"/>
      <c r="L5" s="707"/>
      <c r="M5" s="707"/>
      <c r="N5" s="708"/>
      <c r="P5" s="243" t="s">
        <v>77</v>
      </c>
      <c r="Q5" s="143" t="s">
        <v>17</v>
      </c>
      <c r="R5" s="27" t="s">
        <v>2</v>
      </c>
      <c r="S5" s="142" t="s">
        <v>97</v>
      </c>
      <c r="T5" s="142" t="s">
        <v>92</v>
      </c>
      <c r="U5" s="144" t="s">
        <v>96</v>
      </c>
      <c r="V5" s="46" t="s">
        <v>73</v>
      </c>
      <c r="W5" s="46" t="s">
        <v>68</v>
      </c>
      <c r="X5" s="46" t="s">
        <v>62</v>
      </c>
      <c r="Y5" s="46" t="s">
        <v>55</v>
      </c>
      <c r="Z5" s="46" t="s">
        <v>47</v>
      </c>
      <c r="AA5" s="46" t="s">
        <v>38</v>
      </c>
      <c r="AB5" s="234" t="s">
        <v>30</v>
      </c>
    </row>
    <row r="6" spans="2:28">
      <c r="B6" s="402"/>
      <c r="C6" s="664" t="s">
        <v>231</v>
      </c>
      <c r="D6" s="665"/>
      <c r="E6" s="665"/>
      <c r="F6" s="665"/>
      <c r="G6" s="665"/>
      <c r="H6" s="665"/>
      <c r="I6" s="665"/>
      <c r="J6" s="665"/>
      <c r="K6" s="665"/>
      <c r="L6" s="665"/>
      <c r="M6" s="665"/>
      <c r="N6" s="666"/>
      <c r="P6" s="244" t="s">
        <v>78</v>
      </c>
      <c r="Q6" s="46" t="s">
        <v>18</v>
      </c>
      <c r="R6" s="46" t="s">
        <v>93</v>
      </c>
      <c r="S6" s="181" t="s">
        <v>3</v>
      </c>
      <c r="T6" s="142" t="s">
        <v>91</v>
      </c>
      <c r="U6" s="144" t="s">
        <v>90</v>
      </c>
      <c r="V6" s="46" t="s">
        <v>74</v>
      </c>
      <c r="W6" s="46" t="s">
        <v>69</v>
      </c>
      <c r="X6" s="46" t="s">
        <v>63</v>
      </c>
      <c r="Y6" s="46" t="s">
        <v>56</v>
      </c>
      <c r="Z6" s="46" t="s">
        <v>48</v>
      </c>
      <c r="AA6" s="46" t="s">
        <v>39</v>
      </c>
      <c r="AB6" s="234" t="s">
        <v>28</v>
      </c>
    </row>
    <row r="7" spans="2:28">
      <c r="B7" s="403"/>
      <c r="C7" s="661" t="s">
        <v>227</v>
      </c>
      <c r="D7" s="662"/>
      <c r="E7" s="662"/>
      <c r="F7" s="662"/>
      <c r="G7" s="662"/>
      <c r="H7" s="662"/>
      <c r="I7" s="662"/>
      <c r="J7" s="662"/>
      <c r="K7" s="662"/>
      <c r="L7" s="662"/>
      <c r="M7" s="662"/>
      <c r="N7" s="663"/>
      <c r="P7" s="238" t="s">
        <v>79</v>
      </c>
      <c r="Q7" s="46" t="s">
        <v>98</v>
      </c>
      <c r="R7" s="46" t="s">
        <v>99</v>
      </c>
      <c r="S7" s="46" t="s">
        <v>100</v>
      </c>
      <c r="T7" s="119" t="s">
        <v>4</v>
      </c>
      <c r="U7" s="144" t="s">
        <v>89</v>
      </c>
      <c r="V7" s="46" t="s">
        <v>75</v>
      </c>
      <c r="W7" s="46" t="s">
        <v>70</v>
      </c>
      <c r="X7" s="46" t="s">
        <v>64</v>
      </c>
      <c r="Y7" s="46" t="s">
        <v>57</v>
      </c>
      <c r="Z7" s="46" t="s">
        <v>49</v>
      </c>
      <c r="AA7" s="46" t="s">
        <v>40</v>
      </c>
      <c r="AB7" s="234" t="s">
        <v>29</v>
      </c>
    </row>
    <row r="8" spans="2:28">
      <c r="B8" s="404"/>
      <c r="C8" s="664" t="s">
        <v>223</v>
      </c>
      <c r="D8" s="665"/>
      <c r="E8" s="665"/>
      <c r="F8" s="665"/>
      <c r="G8" s="665"/>
      <c r="H8" s="665"/>
      <c r="I8" s="665"/>
      <c r="J8" s="665"/>
      <c r="K8" s="665"/>
      <c r="L8" s="665"/>
      <c r="M8" s="665"/>
      <c r="N8" s="666"/>
      <c r="P8" s="238" t="s">
        <v>80</v>
      </c>
      <c r="Q8" s="46" t="s">
        <v>101</v>
      </c>
      <c r="R8" s="46" t="s">
        <v>109</v>
      </c>
      <c r="S8" s="46" t="s">
        <v>117</v>
      </c>
      <c r="T8" s="46" t="s">
        <v>125</v>
      </c>
      <c r="U8" s="119">
        <v>99</v>
      </c>
      <c r="V8" s="46" t="s">
        <v>88</v>
      </c>
      <c r="W8" s="46" t="s">
        <v>71</v>
      </c>
      <c r="X8" s="46" t="s">
        <v>65</v>
      </c>
      <c r="Y8" s="46" t="s">
        <v>58</v>
      </c>
      <c r="Z8" s="46" t="s">
        <v>50</v>
      </c>
      <c r="AA8" s="46" t="s">
        <v>41</v>
      </c>
      <c r="AB8" s="234" t="s">
        <v>31</v>
      </c>
    </row>
    <row r="9" spans="2:28">
      <c r="B9" s="405"/>
      <c r="C9" s="664" t="s">
        <v>232</v>
      </c>
      <c r="D9" s="665"/>
      <c r="E9" s="665"/>
      <c r="F9" s="665"/>
      <c r="G9" s="665"/>
      <c r="H9" s="665"/>
      <c r="I9" s="665"/>
      <c r="J9" s="665"/>
      <c r="K9" s="665"/>
      <c r="L9" s="665"/>
      <c r="M9" s="665"/>
      <c r="N9" s="666"/>
      <c r="P9" s="238" t="s">
        <v>81</v>
      </c>
      <c r="Q9" s="46" t="s">
        <v>102</v>
      </c>
      <c r="R9" s="46" t="s">
        <v>110</v>
      </c>
      <c r="S9" s="46" t="s">
        <v>118</v>
      </c>
      <c r="T9" s="46" t="s">
        <v>126</v>
      </c>
      <c r="U9" s="46" t="s">
        <v>133</v>
      </c>
      <c r="V9" s="117">
        <v>88</v>
      </c>
      <c r="W9" s="46" t="s">
        <v>72</v>
      </c>
      <c r="X9" s="46" t="s">
        <v>66</v>
      </c>
      <c r="Y9" s="46" t="s">
        <v>59</v>
      </c>
      <c r="Z9" s="46" t="s">
        <v>51</v>
      </c>
      <c r="AA9" s="46" t="s">
        <v>42</v>
      </c>
      <c r="AB9" s="234" t="s">
        <v>32</v>
      </c>
    </row>
    <row r="10" spans="2:28">
      <c r="B10" s="406"/>
      <c r="C10" s="661" t="s">
        <v>233</v>
      </c>
      <c r="D10" s="662"/>
      <c r="E10" s="662"/>
      <c r="F10" s="662"/>
      <c r="G10" s="662"/>
      <c r="H10" s="662"/>
      <c r="I10" s="662"/>
      <c r="J10" s="662"/>
      <c r="K10" s="662"/>
      <c r="L10" s="662"/>
      <c r="M10" s="662"/>
      <c r="N10" s="663"/>
      <c r="P10" s="238" t="s">
        <v>82</v>
      </c>
      <c r="Q10" s="46" t="s">
        <v>103</v>
      </c>
      <c r="R10" s="46" t="s">
        <v>111</v>
      </c>
      <c r="S10" s="46" t="s">
        <v>119</v>
      </c>
      <c r="T10" s="46" t="s">
        <v>127</v>
      </c>
      <c r="U10" s="46" t="s">
        <v>134</v>
      </c>
      <c r="V10" s="46" t="s">
        <v>140</v>
      </c>
      <c r="W10" s="117">
        <v>77</v>
      </c>
      <c r="X10" s="46" t="s">
        <v>67</v>
      </c>
      <c r="Y10" s="46" t="s">
        <v>60</v>
      </c>
      <c r="Z10" s="46" t="s">
        <v>52</v>
      </c>
      <c r="AA10" s="46" t="s">
        <v>43</v>
      </c>
      <c r="AB10" s="234" t="s">
        <v>33</v>
      </c>
    </row>
    <row r="11" spans="2:28">
      <c r="B11" s="407"/>
      <c r="C11" s="664" t="s">
        <v>234</v>
      </c>
      <c r="D11" s="665"/>
      <c r="E11" s="665"/>
      <c r="F11" s="665"/>
      <c r="G11" s="665"/>
      <c r="H11" s="665"/>
      <c r="I11" s="665"/>
      <c r="J11" s="665"/>
      <c r="K11" s="665"/>
      <c r="L11" s="665"/>
      <c r="M11" s="665"/>
      <c r="N11" s="666"/>
      <c r="P11" s="238" t="s">
        <v>83</v>
      </c>
      <c r="Q11" s="46" t="s">
        <v>108</v>
      </c>
      <c r="R11" s="46" t="s">
        <v>112</v>
      </c>
      <c r="S11" s="46" t="s">
        <v>120</v>
      </c>
      <c r="T11" s="46" t="s">
        <v>128</v>
      </c>
      <c r="U11" s="46" t="s">
        <v>135</v>
      </c>
      <c r="V11" s="46" t="s">
        <v>141</v>
      </c>
      <c r="W11" s="46" t="s">
        <v>146</v>
      </c>
      <c r="X11" s="120">
        <v>66</v>
      </c>
      <c r="Y11" s="46" t="s">
        <v>61</v>
      </c>
      <c r="Z11" s="46" t="s">
        <v>53</v>
      </c>
      <c r="AA11" s="46" t="s">
        <v>44</v>
      </c>
      <c r="AB11" s="234" t="s">
        <v>34</v>
      </c>
    </row>
    <row r="12" spans="2:28">
      <c r="B12" s="408"/>
      <c r="C12" s="661" t="s">
        <v>226</v>
      </c>
      <c r="D12" s="662"/>
      <c r="E12" s="662"/>
      <c r="F12" s="662"/>
      <c r="G12" s="662"/>
      <c r="H12" s="662"/>
      <c r="I12" s="662"/>
      <c r="J12" s="662"/>
      <c r="K12" s="662"/>
      <c r="L12" s="662"/>
      <c r="M12" s="662"/>
      <c r="N12" s="663"/>
      <c r="P12" s="238" t="s">
        <v>84</v>
      </c>
      <c r="Q12" s="46" t="s">
        <v>104</v>
      </c>
      <c r="R12" s="46" t="s">
        <v>113</v>
      </c>
      <c r="S12" s="46" t="s">
        <v>121</v>
      </c>
      <c r="T12" s="46" t="s">
        <v>129</v>
      </c>
      <c r="U12" s="46" t="s">
        <v>136</v>
      </c>
      <c r="V12" s="46" t="s">
        <v>142</v>
      </c>
      <c r="W12" s="46" t="s">
        <v>147</v>
      </c>
      <c r="X12" s="46" t="s">
        <v>151</v>
      </c>
      <c r="Y12" s="120">
        <v>55</v>
      </c>
      <c r="Z12" s="46" t="s">
        <v>54</v>
      </c>
      <c r="AA12" s="46" t="s">
        <v>45</v>
      </c>
      <c r="AB12" s="234" t="s">
        <v>35</v>
      </c>
    </row>
    <row r="13" spans="2:28">
      <c r="B13" s="409"/>
      <c r="C13" s="661" t="s">
        <v>235</v>
      </c>
      <c r="D13" s="662"/>
      <c r="E13" s="662"/>
      <c r="F13" s="662"/>
      <c r="G13" s="662"/>
      <c r="H13" s="662"/>
      <c r="I13" s="662"/>
      <c r="J13" s="662"/>
      <c r="K13" s="662"/>
      <c r="L13" s="662"/>
      <c r="M13" s="662"/>
      <c r="N13" s="663"/>
      <c r="P13" s="238" t="s">
        <v>85</v>
      </c>
      <c r="Q13" s="46" t="s">
        <v>105</v>
      </c>
      <c r="R13" s="46" t="s">
        <v>114</v>
      </c>
      <c r="S13" s="46" t="s">
        <v>122</v>
      </c>
      <c r="T13" s="46" t="s">
        <v>130</v>
      </c>
      <c r="U13" s="46" t="s">
        <v>137</v>
      </c>
      <c r="V13" s="46" t="s">
        <v>143</v>
      </c>
      <c r="W13" s="46" t="s">
        <v>148</v>
      </c>
      <c r="X13" s="46" t="s">
        <v>152</v>
      </c>
      <c r="Y13" s="46" t="s">
        <v>155</v>
      </c>
      <c r="Z13" s="120">
        <v>44</v>
      </c>
      <c r="AA13" s="46" t="s">
        <v>46</v>
      </c>
      <c r="AB13" s="234" t="s">
        <v>36</v>
      </c>
    </row>
    <row r="14" spans="2:28">
      <c r="B14" s="410"/>
      <c r="C14" s="664" t="s">
        <v>236</v>
      </c>
      <c r="D14" s="665"/>
      <c r="E14" s="665"/>
      <c r="F14" s="665"/>
      <c r="G14" s="665"/>
      <c r="H14" s="665"/>
      <c r="I14" s="665"/>
      <c r="J14" s="665"/>
      <c r="K14" s="665"/>
      <c r="L14" s="665"/>
      <c r="M14" s="665"/>
      <c r="N14" s="666"/>
      <c r="P14" s="238" t="s">
        <v>86</v>
      </c>
      <c r="Q14" s="46" t="s">
        <v>106</v>
      </c>
      <c r="R14" s="46" t="s">
        <v>115</v>
      </c>
      <c r="S14" s="46" t="s">
        <v>123</v>
      </c>
      <c r="T14" s="46" t="s">
        <v>131</v>
      </c>
      <c r="U14" s="46" t="s">
        <v>138</v>
      </c>
      <c r="V14" s="46" t="s">
        <v>144</v>
      </c>
      <c r="W14" s="46" t="s">
        <v>149</v>
      </c>
      <c r="X14" s="46" t="s">
        <v>153</v>
      </c>
      <c r="Y14" s="46" t="s">
        <v>156</v>
      </c>
      <c r="Z14" s="46" t="s">
        <v>158</v>
      </c>
      <c r="AA14" s="120">
        <v>33</v>
      </c>
      <c r="AB14" s="234" t="s">
        <v>37</v>
      </c>
    </row>
    <row r="15" spans="2:28" ht="15.75" thickBot="1">
      <c r="B15" s="411"/>
      <c r="C15" s="732" t="s">
        <v>237</v>
      </c>
      <c r="D15" s="733"/>
      <c r="E15" s="733"/>
      <c r="F15" s="733"/>
      <c r="G15" s="733"/>
      <c r="H15" s="733"/>
      <c r="I15" s="733"/>
      <c r="J15" s="733"/>
      <c r="K15" s="733"/>
      <c r="L15" s="733"/>
      <c r="M15" s="733"/>
      <c r="N15" s="734"/>
      <c r="P15" s="239" t="s">
        <v>87</v>
      </c>
      <c r="Q15" s="240" t="s">
        <v>107</v>
      </c>
      <c r="R15" s="240" t="s">
        <v>116</v>
      </c>
      <c r="S15" s="240" t="s">
        <v>124</v>
      </c>
      <c r="T15" s="240" t="s">
        <v>132</v>
      </c>
      <c r="U15" s="240" t="s">
        <v>139</v>
      </c>
      <c r="V15" s="240" t="s">
        <v>145</v>
      </c>
      <c r="W15" s="240" t="s">
        <v>150</v>
      </c>
      <c r="X15" s="240" t="s">
        <v>154</v>
      </c>
      <c r="Y15" s="240" t="s">
        <v>157</v>
      </c>
      <c r="Z15" s="240" t="s">
        <v>160</v>
      </c>
      <c r="AA15" s="240" t="s">
        <v>159</v>
      </c>
      <c r="AB15" s="241">
        <v>22</v>
      </c>
    </row>
    <row r="16" spans="2:28" ht="15.75" thickBot="1"/>
    <row r="17" spans="2:53" ht="15" customHeight="1">
      <c r="B17" s="647" t="s">
        <v>229</v>
      </c>
      <c r="C17" s="648"/>
      <c r="D17" s="648"/>
      <c r="E17" s="648"/>
      <c r="F17" s="648"/>
      <c r="G17" s="648"/>
      <c r="H17" s="648"/>
      <c r="I17" s="648"/>
      <c r="J17" s="648"/>
      <c r="K17" s="648"/>
      <c r="L17" s="648"/>
      <c r="M17" s="648"/>
      <c r="N17" s="650"/>
      <c r="P17" s="647" t="s">
        <v>230</v>
      </c>
      <c r="Q17" s="648"/>
      <c r="R17" s="648"/>
      <c r="S17" s="648"/>
      <c r="T17" s="648"/>
      <c r="U17" s="648"/>
      <c r="V17" s="648"/>
      <c r="W17" s="648"/>
      <c r="X17" s="648"/>
      <c r="Y17" s="648"/>
      <c r="Z17" s="648"/>
      <c r="AA17" s="648"/>
      <c r="AB17" s="650"/>
      <c r="AQ17" s="43"/>
    </row>
    <row r="18" spans="2:53" ht="15" customHeight="1">
      <c r="B18" s="242" t="s">
        <v>0</v>
      </c>
      <c r="C18" s="27" t="s">
        <v>5</v>
      </c>
      <c r="D18" s="118" t="s">
        <v>6</v>
      </c>
      <c r="E18" s="117" t="s">
        <v>7</v>
      </c>
      <c r="F18" s="117" t="s">
        <v>8</v>
      </c>
      <c r="G18" s="129" t="s">
        <v>9</v>
      </c>
      <c r="H18" s="130" t="s">
        <v>10</v>
      </c>
      <c r="I18" s="130" t="s">
        <v>11</v>
      </c>
      <c r="J18" s="46" t="s">
        <v>12</v>
      </c>
      <c r="K18" s="130" t="s">
        <v>13</v>
      </c>
      <c r="L18" s="46" t="s">
        <v>14</v>
      </c>
      <c r="M18" s="46" t="s">
        <v>15</v>
      </c>
      <c r="N18" s="234" t="s">
        <v>16</v>
      </c>
      <c r="P18" s="242" t="s">
        <v>0</v>
      </c>
      <c r="Q18" s="27" t="s">
        <v>5</v>
      </c>
      <c r="R18" s="118" t="s">
        <v>6</v>
      </c>
      <c r="S18" s="117" t="s">
        <v>7</v>
      </c>
      <c r="T18" s="117" t="s">
        <v>8</v>
      </c>
      <c r="U18" s="117" t="s">
        <v>9</v>
      </c>
      <c r="V18" s="48" t="s">
        <v>10</v>
      </c>
      <c r="W18" s="48" t="s">
        <v>11</v>
      </c>
      <c r="X18" s="48" t="s">
        <v>12</v>
      </c>
      <c r="Y18" s="48" t="s">
        <v>13</v>
      </c>
      <c r="Z18" s="48" t="s">
        <v>14</v>
      </c>
      <c r="AA18" s="48" t="s">
        <v>15</v>
      </c>
      <c r="AB18" s="246" t="s">
        <v>16</v>
      </c>
      <c r="AQ18" s="43"/>
    </row>
    <row r="19" spans="2:53" ht="15" customHeight="1">
      <c r="B19" s="242" t="s">
        <v>76</v>
      </c>
      <c r="C19" s="27" t="s">
        <v>1</v>
      </c>
      <c r="D19" s="117" t="s">
        <v>95</v>
      </c>
      <c r="E19" s="142" t="s">
        <v>94</v>
      </c>
      <c r="F19" s="142" t="s">
        <v>19</v>
      </c>
      <c r="G19" s="130" t="s">
        <v>20</v>
      </c>
      <c r="H19" s="46" t="s">
        <v>21</v>
      </c>
      <c r="I19" s="46" t="s">
        <v>22</v>
      </c>
      <c r="J19" s="46" t="s">
        <v>23</v>
      </c>
      <c r="K19" s="46" t="s">
        <v>24</v>
      </c>
      <c r="L19" s="46" t="s">
        <v>25</v>
      </c>
      <c r="M19" s="46" t="s">
        <v>26</v>
      </c>
      <c r="N19" s="234" t="s">
        <v>191</v>
      </c>
      <c r="P19" s="242" t="s">
        <v>76</v>
      </c>
      <c r="Q19" s="27" t="s">
        <v>1</v>
      </c>
      <c r="R19" s="117" t="s">
        <v>95</v>
      </c>
      <c r="S19" s="117" t="s">
        <v>94</v>
      </c>
      <c r="T19" s="117" t="s">
        <v>19</v>
      </c>
      <c r="U19" s="131" t="s">
        <v>20</v>
      </c>
      <c r="V19" s="46" t="s">
        <v>21</v>
      </c>
      <c r="W19" s="46" t="s">
        <v>22</v>
      </c>
      <c r="X19" s="46" t="s">
        <v>23</v>
      </c>
      <c r="Y19" s="46" t="s">
        <v>24</v>
      </c>
      <c r="Z19" s="46" t="s">
        <v>25</v>
      </c>
      <c r="AA19" s="46" t="s">
        <v>26</v>
      </c>
      <c r="AB19" s="234" t="s">
        <v>191</v>
      </c>
      <c r="AQ19" s="43"/>
    </row>
    <row r="20" spans="2:53" ht="15" customHeight="1">
      <c r="B20" s="243" t="s">
        <v>77</v>
      </c>
      <c r="C20" s="143" t="s">
        <v>17</v>
      </c>
      <c r="D20" s="27" t="s">
        <v>2</v>
      </c>
      <c r="E20" s="142" t="s">
        <v>97</v>
      </c>
      <c r="F20" s="142" t="s">
        <v>92</v>
      </c>
      <c r="G20" s="130" t="s">
        <v>96</v>
      </c>
      <c r="H20" s="46" t="s">
        <v>73</v>
      </c>
      <c r="I20" s="46" t="s">
        <v>68</v>
      </c>
      <c r="J20" s="46" t="s">
        <v>62</v>
      </c>
      <c r="K20" s="46" t="s">
        <v>55</v>
      </c>
      <c r="L20" s="46" t="s">
        <v>47</v>
      </c>
      <c r="M20" s="46" t="s">
        <v>38</v>
      </c>
      <c r="N20" s="234" t="s">
        <v>30</v>
      </c>
      <c r="P20" s="243" t="s">
        <v>77</v>
      </c>
      <c r="Q20" s="118" t="s">
        <v>17</v>
      </c>
      <c r="R20" s="27" t="s">
        <v>2</v>
      </c>
      <c r="S20" s="117" t="s">
        <v>97</v>
      </c>
      <c r="T20" s="117" t="s">
        <v>92</v>
      </c>
      <c r="U20" s="131" t="s">
        <v>96</v>
      </c>
      <c r="V20" s="46" t="s">
        <v>73</v>
      </c>
      <c r="W20" s="46" t="s">
        <v>68</v>
      </c>
      <c r="X20" s="46" t="s">
        <v>62</v>
      </c>
      <c r="Y20" s="46" t="s">
        <v>55</v>
      </c>
      <c r="Z20" s="46" t="s">
        <v>47</v>
      </c>
      <c r="AA20" s="46" t="s">
        <v>38</v>
      </c>
      <c r="AB20" s="234" t="s">
        <v>30</v>
      </c>
      <c r="AQ20" s="43"/>
    </row>
    <row r="21" spans="2:53" ht="15" customHeight="1">
      <c r="B21" s="247" t="s">
        <v>78</v>
      </c>
      <c r="C21" s="46" t="s">
        <v>18</v>
      </c>
      <c r="D21" s="46" t="s">
        <v>93</v>
      </c>
      <c r="E21" s="27" t="s">
        <v>3</v>
      </c>
      <c r="F21" s="142" t="s">
        <v>91</v>
      </c>
      <c r="G21" s="130" t="s">
        <v>90</v>
      </c>
      <c r="H21" s="46" t="s">
        <v>74</v>
      </c>
      <c r="I21" s="46" t="s">
        <v>69</v>
      </c>
      <c r="J21" s="46" t="s">
        <v>63</v>
      </c>
      <c r="K21" s="46" t="s">
        <v>56</v>
      </c>
      <c r="L21" s="46" t="s">
        <v>48</v>
      </c>
      <c r="M21" s="46" t="s">
        <v>39</v>
      </c>
      <c r="N21" s="234" t="s">
        <v>28</v>
      </c>
      <c r="P21" s="247" t="s">
        <v>78</v>
      </c>
      <c r="Q21" s="46" t="s">
        <v>18</v>
      </c>
      <c r="R21" s="46" t="s">
        <v>93</v>
      </c>
      <c r="S21" s="27" t="s">
        <v>3</v>
      </c>
      <c r="T21" s="117" t="s">
        <v>91</v>
      </c>
      <c r="U21" s="131" t="s">
        <v>90</v>
      </c>
      <c r="V21" s="46" t="s">
        <v>74</v>
      </c>
      <c r="W21" s="46" t="s">
        <v>69</v>
      </c>
      <c r="X21" s="46" t="s">
        <v>63</v>
      </c>
      <c r="Y21" s="46" t="s">
        <v>56</v>
      </c>
      <c r="Z21" s="46" t="s">
        <v>48</v>
      </c>
      <c r="AA21" s="46" t="s">
        <v>39</v>
      </c>
      <c r="AB21" s="234" t="s">
        <v>28</v>
      </c>
      <c r="AQ21" s="43"/>
    </row>
    <row r="22" spans="2:53" ht="15" customHeight="1">
      <c r="B22" s="412" t="s">
        <v>79</v>
      </c>
      <c r="C22" s="46" t="s">
        <v>98</v>
      </c>
      <c r="D22" s="46" t="s">
        <v>99</v>
      </c>
      <c r="E22" s="46" t="s">
        <v>100</v>
      </c>
      <c r="F22" s="119" t="s">
        <v>4</v>
      </c>
      <c r="G22" s="130" t="s">
        <v>89</v>
      </c>
      <c r="H22" s="46" t="s">
        <v>75</v>
      </c>
      <c r="I22" s="46" t="s">
        <v>70</v>
      </c>
      <c r="J22" s="46" t="s">
        <v>64</v>
      </c>
      <c r="K22" s="46" t="s">
        <v>57</v>
      </c>
      <c r="L22" s="46" t="s">
        <v>49</v>
      </c>
      <c r="M22" s="46" t="s">
        <v>40</v>
      </c>
      <c r="N22" s="234" t="s">
        <v>29</v>
      </c>
      <c r="P22" s="414" t="s">
        <v>79</v>
      </c>
      <c r="Q22" s="46" t="s">
        <v>98</v>
      </c>
      <c r="R22" s="46" t="s">
        <v>99</v>
      </c>
      <c r="S22" s="46" t="s">
        <v>100</v>
      </c>
      <c r="T22" s="119" t="s">
        <v>4</v>
      </c>
      <c r="U22" s="131" t="s">
        <v>89</v>
      </c>
      <c r="V22" s="46" t="s">
        <v>75</v>
      </c>
      <c r="W22" s="46" t="s">
        <v>70</v>
      </c>
      <c r="X22" s="46" t="s">
        <v>64</v>
      </c>
      <c r="Y22" s="46" t="s">
        <v>57</v>
      </c>
      <c r="Z22" s="46" t="s">
        <v>49</v>
      </c>
      <c r="AA22" s="46" t="s">
        <v>40</v>
      </c>
      <c r="AB22" s="234" t="s">
        <v>29</v>
      </c>
      <c r="AQ22" s="43"/>
    </row>
    <row r="23" spans="2:53" ht="15" customHeight="1">
      <c r="B23" s="238" t="s">
        <v>80</v>
      </c>
      <c r="C23" s="46" t="s">
        <v>101</v>
      </c>
      <c r="D23" s="46" t="s">
        <v>109</v>
      </c>
      <c r="E23" s="46" t="s">
        <v>117</v>
      </c>
      <c r="F23" s="46" t="s">
        <v>125</v>
      </c>
      <c r="G23" s="119">
        <v>99</v>
      </c>
      <c r="H23" s="130" t="s">
        <v>88</v>
      </c>
      <c r="I23" s="46" t="s">
        <v>71</v>
      </c>
      <c r="J23" s="46" t="s">
        <v>65</v>
      </c>
      <c r="K23" s="46" t="s">
        <v>58</v>
      </c>
      <c r="L23" s="46" t="s">
        <v>50</v>
      </c>
      <c r="M23" s="46" t="s">
        <v>41</v>
      </c>
      <c r="N23" s="234" t="s">
        <v>31</v>
      </c>
      <c r="P23" s="415" t="s">
        <v>80</v>
      </c>
      <c r="Q23" s="46" t="s">
        <v>101</v>
      </c>
      <c r="R23" s="46" t="s">
        <v>109</v>
      </c>
      <c r="S23" s="46" t="s">
        <v>117</v>
      </c>
      <c r="T23" s="46" t="s">
        <v>125</v>
      </c>
      <c r="U23" s="119">
        <v>99</v>
      </c>
      <c r="V23" s="46" t="s">
        <v>88</v>
      </c>
      <c r="W23" s="46" t="s">
        <v>71</v>
      </c>
      <c r="X23" s="46" t="s">
        <v>65</v>
      </c>
      <c r="Y23" s="46" t="s">
        <v>58</v>
      </c>
      <c r="Z23" s="46" t="s">
        <v>50</v>
      </c>
      <c r="AA23" s="46" t="s">
        <v>41</v>
      </c>
      <c r="AB23" s="234" t="s">
        <v>31</v>
      </c>
      <c r="AQ23" s="43"/>
    </row>
    <row r="24" spans="2:53" ht="15" customHeight="1">
      <c r="B24" s="238" t="s">
        <v>81</v>
      </c>
      <c r="C24" s="46" t="s">
        <v>102</v>
      </c>
      <c r="D24" s="46" t="s">
        <v>110</v>
      </c>
      <c r="E24" s="46" t="s">
        <v>118</v>
      </c>
      <c r="F24" s="46" t="s">
        <v>126</v>
      </c>
      <c r="G24" s="46" t="s">
        <v>133</v>
      </c>
      <c r="H24" s="117">
        <v>88</v>
      </c>
      <c r="I24" s="46" t="s">
        <v>72</v>
      </c>
      <c r="J24" s="46" t="s">
        <v>66</v>
      </c>
      <c r="K24" s="46" t="s">
        <v>59</v>
      </c>
      <c r="L24" s="46" t="s">
        <v>51</v>
      </c>
      <c r="M24" s="46" t="s">
        <v>42</v>
      </c>
      <c r="N24" s="234" t="s">
        <v>32</v>
      </c>
      <c r="P24" s="415" t="s">
        <v>81</v>
      </c>
      <c r="Q24" s="46" t="s">
        <v>102</v>
      </c>
      <c r="R24" s="46" t="s">
        <v>110</v>
      </c>
      <c r="S24" s="46" t="s">
        <v>118</v>
      </c>
      <c r="T24" s="46" t="s">
        <v>126</v>
      </c>
      <c r="U24" s="46" t="s">
        <v>133</v>
      </c>
      <c r="V24" s="117">
        <v>88</v>
      </c>
      <c r="W24" s="46" t="s">
        <v>72</v>
      </c>
      <c r="X24" s="46" t="s">
        <v>66</v>
      </c>
      <c r="Y24" s="46" t="s">
        <v>59</v>
      </c>
      <c r="Z24" s="46" t="s">
        <v>51</v>
      </c>
      <c r="AA24" s="46" t="s">
        <v>42</v>
      </c>
      <c r="AB24" s="234" t="s">
        <v>32</v>
      </c>
      <c r="AQ24" s="43"/>
      <c r="AZ24" s="43"/>
      <c r="BA24" s="43"/>
    </row>
    <row r="25" spans="2:53" ht="15" customHeight="1">
      <c r="B25" s="238" t="s">
        <v>82</v>
      </c>
      <c r="C25" s="46" t="s">
        <v>103</v>
      </c>
      <c r="D25" s="46" t="s">
        <v>111</v>
      </c>
      <c r="E25" s="46" t="s">
        <v>119</v>
      </c>
      <c r="F25" s="46" t="s">
        <v>127</v>
      </c>
      <c r="G25" s="46" t="s">
        <v>134</v>
      </c>
      <c r="H25" s="46" t="s">
        <v>140</v>
      </c>
      <c r="I25" s="117">
        <v>77</v>
      </c>
      <c r="J25" s="46" t="s">
        <v>67</v>
      </c>
      <c r="K25" s="46" t="s">
        <v>60</v>
      </c>
      <c r="L25" s="46" t="s">
        <v>52</v>
      </c>
      <c r="M25" s="46" t="s">
        <v>43</v>
      </c>
      <c r="N25" s="234" t="s">
        <v>33</v>
      </c>
      <c r="P25" s="415" t="s">
        <v>82</v>
      </c>
      <c r="Q25" s="46" t="s">
        <v>103</v>
      </c>
      <c r="R25" s="46" t="s">
        <v>111</v>
      </c>
      <c r="S25" s="46" t="s">
        <v>119</v>
      </c>
      <c r="T25" s="46" t="s">
        <v>127</v>
      </c>
      <c r="U25" s="46" t="s">
        <v>134</v>
      </c>
      <c r="V25" s="46" t="s">
        <v>140</v>
      </c>
      <c r="W25" s="117">
        <v>77</v>
      </c>
      <c r="X25" s="46" t="s">
        <v>67</v>
      </c>
      <c r="Y25" s="46" t="s">
        <v>60</v>
      </c>
      <c r="Z25" s="46" t="s">
        <v>52</v>
      </c>
      <c r="AA25" s="46" t="s">
        <v>43</v>
      </c>
      <c r="AB25" s="234" t="s">
        <v>33</v>
      </c>
      <c r="AQ25" s="43"/>
    </row>
    <row r="26" spans="2:53" ht="15" customHeight="1">
      <c r="B26" s="238" t="s">
        <v>83</v>
      </c>
      <c r="C26" s="46" t="s">
        <v>108</v>
      </c>
      <c r="D26" s="46" t="s">
        <v>112</v>
      </c>
      <c r="E26" s="46" t="s">
        <v>120</v>
      </c>
      <c r="F26" s="46" t="s">
        <v>128</v>
      </c>
      <c r="G26" s="46" t="s">
        <v>135</v>
      </c>
      <c r="H26" s="46" t="s">
        <v>141</v>
      </c>
      <c r="I26" s="46" t="s">
        <v>146</v>
      </c>
      <c r="J26" s="115">
        <v>66</v>
      </c>
      <c r="K26" s="46" t="s">
        <v>61</v>
      </c>
      <c r="L26" s="46" t="s">
        <v>53</v>
      </c>
      <c r="M26" s="46" t="s">
        <v>44</v>
      </c>
      <c r="N26" s="234" t="s">
        <v>34</v>
      </c>
      <c r="P26" s="238" t="s">
        <v>83</v>
      </c>
      <c r="Q26" s="46" t="s">
        <v>108</v>
      </c>
      <c r="R26" s="46" t="s">
        <v>112</v>
      </c>
      <c r="S26" s="46" t="s">
        <v>120</v>
      </c>
      <c r="T26" s="46" t="s">
        <v>128</v>
      </c>
      <c r="U26" s="46" t="s">
        <v>135</v>
      </c>
      <c r="V26" s="46" t="s">
        <v>141</v>
      </c>
      <c r="W26" s="46" t="s">
        <v>146</v>
      </c>
      <c r="X26" s="117">
        <v>66</v>
      </c>
      <c r="Y26" s="46" t="s">
        <v>61</v>
      </c>
      <c r="Z26" s="46" t="s">
        <v>53</v>
      </c>
      <c r="AA26" s="46" t="s">
        <v>44</v>
      </c>
      <c r="AB26" s="234" t="s">
        <v>34</v>
      </c>
      <c r="AQ26" s="43"/>
    </row>
    <row r="27" spans="2:53" ht="15" customHeight="1">
      <c r="B27" s="238" t="s">
        <v>84</v>
      </c>
      <c r="C27" s="46" t="s">
        <v>104</v>
      </c>
      <c r="D27" s="46" t="s">
        <v>113</v>
      </c>
      <c r="E27" s="46" t="s">
        <v>121</v>
      </c>
      <c r="F27" s="46" t="s">
        <v>129</v>
      </c>
      <c r="G27" s="46" t="s">
        <v>136</v>
      </c>
      <c r="H27" s="46" t="s">
        <v>142</v>
      </c>
      <c r="I27" s="46" t="s">
        <v>147</v>
      </c>
      <c r="J27" s="46" t="s">
        <v>151</v>
      </c>
      <c r="K27" s="132">
        <v>55</v>
      </c>
      <c r="L27" s="46" t="s">
        <v>54</v>
      </c>
      <c r="M27" s="46" t="s">
        <v>45</v>
      </c>
      <c r="N27" s="234" t="s">
        <v>35</v>
      </c>
      <c r="P27" s="238" t="s">
        <v>84</v>
      </c>
      <c r="Q27" s="46" t="s">
        <v>104</v>
      </c>
      <c r="R27" s="46" t="s">
        <v>113</v>
      </c>
      <c r="S27" s="46" t="s">
        <v>121</v>
      </c>
      <c r="T27" s="46" t="s">
        <v>129</v>
      </c>
      <c r="U27" s="46" t="s">
        <v>136</v>
      </c>
      <c r="V27" s="46" t="s">
        <v>142</v>
      </c>
      <c r="W27" s="46" t="s">
        <v>147</v>
      </c>
      <c r="X27" s="46" t="s">
        <v>151</v>
      </c>
      <c r="Y27" s="117">
        <v>55</v>
      </c>
      <c r="Z27" s="46" t="s">
        <v>54</v>
      </c>
      <c r="AA27" s="46" t="s">
        <v>45</v>
      </c>
      <c r="AB27" s="234" t="s">
        <v>35</v>
      </c>
      <c r="AQ27" s="43"/>
    </row>
    <row r="28" spans="2:53" ht="15" customHeight="1">
      <c r="B28" s="238" t="s">
        <v>85</v>
      </c>
      <c r="C28" s="46" t="s">
        <v>105</v>
      </c>
      <c r="D28" s="46" t="s">
        <v>114</v>
      </c>
      <c r="E28" s="46" t="s">
        <v>122</v>
      </c>
      <c r="F28" s="46" t="s">
        <v>130</v>
      </c>
      <c r="G28" s="46" t="s">
        <v>137</v>
      </c>
      <c r="H28" s="46" t="s">
        <v>143</v>
      </c>
      <c r="I28" s="46" t="s">
        <v>148</v>
      </c>
      <c r="J28" s="46" t="s">
        <v>152</v>
      </c>
      <c r="K28" s="46" t="s">
        <v>155</v>
      </c>
      <c r="L28" s="132">
        <v>44</v>
      </c>
      <c r="M28" s="46" t="s">
        <v>46</v>
      </c>
      <c r="N28" s="234" t="s">
        <v>36</v>
      </c>
      <c r="P28" s="238" t="s">
        <v>85</v>
      </c>
      <c r="Q28" s="46" t="s">
        <v>105</v>
      </c>
      <c r="R28" s="46" t="s">
        <v>114</v>
      </c>
      <c r="S28" s="46" t="s">
        <v>122</v>
      </c>
      <c r="T28" s="46" t="s">
        <v>130</v>
      </c>
      <c r="U28" s="46" t="s">
        <v>137</v>
      </c>
      <c r="V28" s="46" t="s">
        <v>143</v>
      </c>
      <c r="W28" s="46" t="s">
        <v>148</v>
      </c>
      <c r="X28" s="46" t="s">
        <v>152</v>
      </c>
      <c r="Y28" s="46" t="s">
        <v>155</v>
      </c>
      <c r="Z28" s="117">
        <v>44</v>
      </c>
      <c r="AA28" s="46" t="s">
        <v>46</v>
      </c>
      <c r="AB28" s="234" t="s">
        <v>36</v>
      </c>
      <c r="AQ28" s="43"/>
    </row>
    <row r="29" spans="2:53" ht="15" customHeight="1">
      <c r="B29" s="238" t="s">
        <v>86</v>
      </c>
      <c r="C29" s="46" t="s">
        <v>106</v>
      </c>
      <c r="D29" s="46" t="s">
        <v>115</v>
      </c>
      <c r="E29" s="46" t="s">
        <v>123</v>
      </c>
      <c r="F29" s="46" t="s">
        <v>131</v>
      </c>
      <c r="G29" s="46" t="s">
        <v>138</v>
      </c>
      <c r="H29" s="46" t="s">
        <v>144</v>
      </c>
      <c r="I29" s="46" t="s">
        <v>149</v>
      </c>
      <c r="J29" s="46" t="s">
        <v>153</v>
      </c>
      <c r="K29" s="46" t="s">
        <v>156</v>
      </c>
      <c r="L29" s="46" t="s">
        <v>158</v>
      </c>
      <c r="M29" s="132">
        <v>33</v>
      </c>
      <c r="N29" s="234" t="s">
        <v>37</v>
      </c>
      <c r="P29" s="238" t="s">
        <v>86</v>
      </c>
      <c r="Q29" s="46" t="s">
        <v>106</v>
      </c>
      <c r="R29" s="46" t="s">
        <v>115</v>
      </c>
      <c r="S29" s="46" t="s">
        <v>123</v>
      </c>
      <c r="T29" s="46" t="s">
        <v>131</v>
      </c>
      <c r="U29" s="46" t="s">
        <v>138</v>
      </c>
      <c r="V29" s="46" t="s">
        <v>144</v>
      </c>
      <c r="W29" s="46" t="s">
        <v>149</v>
      </c>
      <c r="X29" s="46" t="s">
        <v>153</v>
      </c>
      <c r="Y29" s="46" t="s">
        <v>156</v>
      </c>
      <c r="Z29" s="46" t="s">
        <v>158</v>
      </c>
      <c r="AA29" s="117">
        <v>33</v>
      </c>
      <c r="AB29" s="234" t="s">
        <v>37</v>
      </c>
      <c r="AQ29" s="43"/>
    </row>
    <row r="30" spans="2:53" ht="15" customHeight="1" thickBot="1">
      <c r="B30" s="239" t="s">
        <v>87</v>
      </c>
      <c r="C30" s="240" t="s">
        <v>107</v>
      </c>
      <c r="D30" s="240" t="s">
        <v>116</v>
      </c>
      <c r="E30" s="240" t="s">
        <v>124</v>
      </c>
      <c r="F30" s="240" t="s">
        <v>132</v>
      </c>
      <c r="G30" s="240" t="s">
        <v>139</v>
      </c>
      <c r="H30" s="240" t="s">
        <v>145</v>
      </c>
      <c r="I30" s="240" t="s">
        <v>150</v>
      </c>
      <c r="J30" s="240" t="s">
        <v>154</v>
      </c>
      <c r="K30" s="240" t="s">
        <v>157</v>
      </c>
      <c r="L30" s="240" t="s">
        <v>160</v>
      </c>
      <c r="M30" s="240" t="s">
        <v>159</v>
      </c>
      <c r="N30" s="413">
        <v>22</v>
      </c>
      <c r="P30" s="239" t="s">
        <v>87</v>
      </c>
      <c r="Q30" s="240" t="s">
        <v>107</v>
      </c>
      <c r="R30" s="240" t="s">
        <v>116</v>
      </c>
      <c r="S30" s="240" t="s">
        <v>124</v>
      </c>
      <c r="T30" s="240" t="s">
        <v>132</v>
      </c>
      <c r="U30" s="240" t="s">
        <v>139</v>
      </c>
      <c r="V30" s="240" t="s">
        <v>145</v>
      </c>
      <c r="W30" s="240" t="s">
        <v>150</v>
      </c>
      <c r="X30" s="240" t="s">
        <v>154</v>
      </c>
      <c r="Y30" s="240" t="s">
        <v>157</v>
      </c>
      <c r="Z30" s="240" t="s">
        <v>160</v>
      </c>
      <c r="AA30" s="240" t="s">
        <v>159</v>
      </c>
      <c r="AB30" s="249">
        <v>22</v>
      </c>
      <c r="AQ30" s="43"/>
    </row>
    <row r="31" spans="2:53" ht="15" customHeight="1" thickBot="1">
      <c r="AQ31" s="43"/>
    </row>
    <row r="32" spans="2:53" ht="15" customHeight="1">
      <c r="B32" s="647" t="s">
        <v>239</v>
      </c>
      <c r="C32" s="648"/>
      <c r="D32" s="648"/>
      <c r="E32" s="648"/>
      <c r="F32" s="648"/>
      <c r="G32" s="648"/>
      <c r="H32" s="648"/>
      <c r="I32" s="648"/>
      <c r="J32" s="648"/>
      <c r="K32" s="648"/>
      <c r="L32" s="648"/>
      <c r="M32" s="648"/>
      <c r="N32" s="650"/>
      <c r="P32" s="647" t="s">
        <v>238</v>
      </c>
      <c r="Q32" s="648"/>
      <c r="R32" s="648"/>
      <c r="S32" s="648"/>
      <c r="T32" s="648"/>
      <c r="U32" s="648"/>
      <c r="V32" s="648"/>
      <c r="W32" s="648"/>
      <c r="X32" s="648"/>
      <c r="Y32" s="648"/>
      <c r="Z32" s="648"/>
      <c r="AA32" s="648"/>
      <c r="AB32" s="650"/>
    </row>
    <row r="33" spans="2:28" ht="15" customHeight="1">
      <c r="B33" s="242" t="s">
        <v>0</v>
      </c>
      <c r="C33" s="27" t="s">
        <v>5</v>
      </c>
      <c r="D33" s="118" t="s">
        <v>6</v>
      </c>
      <c r="E33" s="117" t="s">
        <v>7</v>
      </c>
      <c r="F33" s="117" t="s">
        <v>8</v>
      </c>
      <c r="G33" s="117" t="s">
        <v>9</v>
      </c>
      <c r="H33" s="48" t="s">
        <v>10</v>
      </c>
      <c r="I33" s="48" t="s">
        <v>11</v>
      </c>
      <c r="J33" s="48" t="s">
        <v>12</v>
      </c>
      <c r="K33" s="48" t="s">
        <v>13</v>
      </c>
      <c r="L33" s="48" t="s">
        <v>14</v>
      </c>
      <c r="M33" s="48" t="s">
        <v>15</v>
      </c>
      <c r="N33" s="246" t="s">
        <v>16</v>
      </c>
      <c r="P33" s="242" t="s">
        <v>0</v>
      </c>
      <c r="Q33" s="27" t="s">
        <v>5</v>
      </c>
      <c r="R33" s="118" t="s">
        <v>6</v>
      </c>
      <c r="S33" s="117" t="s">
        <v>7</v>
      </c>
      <c r="T33" s="117" t="s">
        <v>8</v>
      </c>
      <c r="U33" s="117" t="s">
        <v>9</v>
      </c>
      <c r="V33" s="48" t="s">
        <v>10</v>
      </c>
      <c r="W33" s="48" t="s">
        <v>11</v>
      </c>
      <c r="X33" s="48" t="s">
        <v>12</v>
      </c>
      <c r="Y33" s="48" t="s">
        <v>13</v>
      </c>
      <c r="Z33" s="48" t="s">
        <v>14</v>
      </c>
      <c r="AA33" s="48" t="s">
        <v>15</v>
      </c>
      <c r="AB33" s="246" t="s">
        <v>16</v>
      </c>
    </row>
    <row r="34" spans="2:28" ht="15" customHeight="1">
      <c r="B34" s="242" t="s">
        <v>76</v>
      </c>
      <c r="C34" s="27" t="s">
        <v>1</v>
      </c>
      <c r="D34" s="117" t="s">
        <v>95</v>
      </c>
      <c r="E34" s="117" t="s">
        <v>94</v>
      </c>
      <c r="F34" s="117" t="s">
        <v>19</v>
      </c>
      <c r="G34" s="180" t="s">
        <v>20</v>
      </c>
      <c r="H34" s="46" t="s">
        <v>21</v>
      </c>
      <c r="I34" s="46" t="s">
        <v>22</v>
      </c>
      <c r="J34" s="46" t="s">
        <v>23</v>
      </c>
      <c r="K34" s="46" t="s">
        <v>24</v>
      </c>
      <c r="L34" s="46" t="s">
        <v>25</v>
      </c>
      <c r="M34" s="46" t="s">
        <v>26</v>
      </c>
      <c r="N34" s="234" t="s">
        <v>191</v>
      </c>
      <c r="P34" s="242" t="s">
        <v>76</v>
      </c>
      <c r="Q34" s="27" t="s">
        <v>1</v>
      </c>
      <c r="R34" s="117" t="s">
        <v>95</v>
      </c>
      <c r="S34" s="117" t="s">
        <v>94</v>
      </c>
      <c r="T34" s="117" t="s">
        <v>19</v>
      </c>
      <c r="U34" s="48" t="s">
        <v>20</v>
      </c>
      <c r="V34" s="46" t="s">
        <v>21</v>
      </c>
      <c r="W34" s="46" t="s">
        <v>22</v>
      </c>
      <c r="X34" s="46" t="s">
        <v>23</v>
      </c>
      <c r="Y34" s="46" t="s">
        <v>24</v>
      </c>
      <c r="Z34" s="46" t="s">
        <v>25</v>
      </c>
      <c r="AA34" s="46" t="s">
        <v>26</v>
      </c>
      <c r="AB34" s="234" t="s">
        <v>191</v>
      </c>
    </row>
    <row r="35" spans="2:28" ht="15" customHeight="1">
      <c r="B35" s="243" t="s">
        <v>77</v>
      </c>
      <c r="C35" s="118" t="s">
        <v>17</v>
      </c>
      <c r="D35" s="27" t="s">
        <v>2</v>
      </c>
      <c r="E35" s="117" t="s">
        <v>97</v>
      </c>
      <c r="F35" s="117" t="s">
        <v>92</v>
      </c>
      <c r="G35" s="180" t="s">
        <v>96</v>
      </c>
      <c r="H35" s="46" t="s">
        <v>73</v>
      </c>
      <c r="I35" s="46" t="s">
        <v>68</v>
      </c>
      <c r="J35" s="46" t="s">
        <v>62</v>
      </c>
      <c r="K35" s="46" t="s">
        <v>55</v>
      </c>
      <c r="L35" s="46" t="s">
        <v>47</v>
      </c>
      <c r="M35" s="46" t="s">
        <v>38</v>
      </c>
      <c r="N35" s="234" t="s">
        <v>30</v>
      </c>
      <c r="P35" s="243" t="s">
        <v>77</v>
      </c>
      <c r="Q35" s="118" t="s">
        <v>17</v>
      </c>
      <c r="R35" s="27" t="s">
        <v>2</v>
      </c>
      <c r="S35" s="117" t="s">
        <v>97</v>
      </c>
      <c r="T35" s="117" t="s">
        <v>92</v>
      </c>
      <c r="U35" s="48" t="s">
        <v>96</v>
      </c>
      <c r="V35" s="46" t="s">
        <v>73</v>
      </c>
      <c r="W35" s="46" t="s">
        <v>68</v>
      </c>
      <c r="X35" s="46" t="s">
        <v>62</v>
      </c>
      <c r="Y35" s="46" t="s">
        <v>55</v>
      </c>
      <c r="Z35" s="46" t="s">
        <v>47</v>
      </c>
      <c r="AA35" s="46" t="s">
        <v>38</v>
      </c>
      <c r="AB35" s="234" t="s">
        <v>30</v>
      </c>
    </row>
    <row r="36" spans="2:28" ht="15" customHeight="1">
      <c r="B36" s="247" t="s">
        <v>78</v>
      </c>
      <c r="C36" s="48" t="s">
        <v>18</v>
      </c>
      <c r="D36" s="46" t="s">
        <v>93</v>
      </c>
      <c r="E36" s="27" t="s">
        <v>3</v>
      </c>
      <c r="F36" s="117" t="s">
        <v>91</v>
      </c>
      <c r="G36" s="180" t="s">
        <v>90</v>
      </c>
      <c r="H36" s="46" t="s">
        <v>74</v>
      </c>
      <c r="I36" s="46" t="s">
        <v>69</v>
      </c>
      <c r="J36" s="46" t="s">
        <v>63</v>
      </c>
      <c r="K36" s="46" t="s">
        <v>56</v>
      </c>
      <c r="L36" s="46" t="s">
        <v>48</v>
      </c>
      <c r="M36" s="46" t="s">
        <v>39</v>
      </c>
      <c r="N36" s="234" t="s">
        <v>28</v>
      </c>
      <c r="P36" s="247" t="s">
        <v>78</v>
      </c>
      <c r="Q36" s="48" t="s">
        <v>18</v>
      </c>
      <c r="R36" s="48" t="s">
        <v>93</v>
      </c>
      <c r="S36" s="27" t="s">
        <v>3</v>
      </c>
      <c r="T36" s="117" t="s">
        <v>91</v>
      </c>
      <c r="U36" s="48" t="s">
        <v>90</v>
      </c>
      <c r="V36" s="46" t="s">
        <v>74</v>
      </c>
      <c r="W36" s="46" t="s">
        <v>69</v>
      </c>
      <c r="X36" s="46" t="s">
        <v>63</v>
      </c>
      <c r="Y36" s="46" t="s">
        <v>56</v>
      </c>
      <c r="Z36" s="46" t="s">
        <v>48</v>
      </c>
      <c r="AA36" s="46" t="s">
        <v>39</v>
      </c>
      <c r="AB36" s="234" t="s">
        <v>28</v>
      </c>
    </row>
    <row r="37" spans="2:28" ht="15" customHeight="1">
      <c r="B37" s="414" t="s">
        <v>79</v>
      </c>
      <c r="C37" s="46" t="s">
        <v>98</v>
      </c>
      <c r="D37" s="46" t="s">
        <v>99</v>
      </c>
      <c r="E37" s="46" t="s">
        <v>100</v>
      </c>
      <c r="F37" s="119" t="s">
        <v>4</v>
      </c>
      <c r="G37" s="180" t="s">
        <v>89</v>
      </c>
      <c r="H37" s="76" t="s">
        <v>75</v>
      </c>
      <c r="I37" s="46" t="s">
        <v>70</v>
      </c>
      <c r="J37" s="46" t="s">
        <v>64</v>
      </c>
      <c r="K37" s="46" t="s">
        <v>57</v>
      </c>
      <c r="L37" s="46" t="s">
        <v>49</v>
      </c>
      <c r="M37" s="46" t="s">
        <v>40</v>
      </c>
      <c r="N37" s="234" t="s">
        <v>29</v>
      </c>
      <c r="P37" s="414" t="s">
        <v>79</v>
      </c>
      <c r="Q37" s="47" t="s">
        <v>98</v>
      </c>
      <c r="R37" s="46" t="s">
        <v>99</v>
      </c>
      <c r="S37" s="46" t="s">
        <v>100</v>
      </c>
      <c r="T37" s="119" t="s">
        <v>4</v>
      </c>
      <c r="U37" s="48" t="s">
        <v>89</v>
      </c>
      <c r="V37" s="47" t="s">
        <v>75</v>
      </c>
      <c r="W37" s="46" t="s">
        <v>70</v>
      </c>
      <c r="X37" s="46" t="s">
        <v>64</v>
      </c>
      <c r="Y37" s="46" t="s">
        <v>57</v>
      </c>
      <c r="Z37" s="46" t="s">
        <v>49</v>
      </c>
      <c r="AA37" s="46" t="s">
        <v>40</v>
      </c>
      <c r="AB37" s="234" t="s">
        <v>29</v>
      </c>
    </row>
    <row r="38" spans="2:28" ht="15" customHeight="1">
      <c r="B38" s="414" t="s">
        <v>80</v>
      </c>
      <c r="C38" s="46" t="s">
        <v>101</v>
      </c>
      <c r="D38" s="46" t="s">
        <v>109</v>
      </c>
      <c r="E38" s="46" t="s">
        <v>117</v>
      </c>
      <c r="F38" s="46" t="s">
        <v>125</v>
      </c>
      <c r="G38" s="119">
        <v>99</v>
      </c>
      <c r="H38" s="180" t="s">
        <v>88</v>
      </c>
      <c r="I38" s="46" t="s">
        <v>71</v>
      </c>
      <c r="J38" s="46" t="s">
        <v>65</v>
      </c>
      <c r="K38" s="46" t="s">
        <v>58</v>
      </c>
      <c r="L38" s="46" t="s">
        <v>50</v>
      </c>
      <c r="M38" s="46" t="s">
        <v>41</v>
      </c>
      <c r="N38" s="234" t="s">
        <v>31</v>
      </c>
      <c r="P38" s="414" t="s">
        <v>80</v>
      </c>
      <c r="Q38" s="46" t="s">
        <v>101</v>
      </c>
      <c r="R38" s="46" t="s">
        <v>109</v>
      </c>
      <c r="S38" s="46" t="s">
        <v>117</v>
      </c>
      <c r="T38" s="46" t="s">
        <v>125</v>
      </c>
      <c r="U38" s="119">
        <v>99</v>
      </c>
      <c r="V38" s="46" t="s">
        <v>88</v>
      </c>
      <c r="W38" s="46" t="s">
        <v>71</v>
      </c>
      <c r="X38" s="46" t="s">
        <v>65</v>
      </c>
      <c r="Y38" s="46" t="s">
        <v>58</v>
      </c>
      <c r="Z38" s="46" t="s">
        <v>50</v>
      </c>
      <c r="AA38" s="46" t="s">
        <v>41</v>
      </c>
      <c r="AB38" s="234" t="s">
        <v>31</v>
      </c>
    </row>
    <row r="39" spans="2:28" ht="15" customHeight="1">
      <c r="B39" s="415" t="s">
        <v>81</v>
      </c>
      <c r="C39" s="46" t="s">
        <v>102</v>
      </c>
      <c r="D39" s="46" t="s">
        <v>110</v>
      </c>
      <c r="E39" s="46" t="s">
        <v>118</v>
      </c>
      <c r="F39" s="46" t="s">
        <v>126</v>
      </c>
      <c r="G39" s="46" t="s">
        <v>133</v>
      </c>
      <c r="H39" s="117">
        <v>88</v>
      </c>
      <c r="I39" s="46" t="s">
        <v>72</v>
      </c>
      <c r="J39" s="46" t="s">
        <v>66</v>
      </c>
      <c r="K39" s="46" t="s">
        <v>59</v>
      </c>
      <c r="L39" s="46" t="s">
        <v>51</v>
      </c>
      <c r="M39" s="46" t="s">
        <v>42</v>
      </c>
      <c r="N39" s="234" t="s">
        <v>32</v>
      </c>
      <c r="P39" s="414" t="s">
        <v>81</v>
      </c>
      <c r="Q39" s="46" t="s">
        <v>102</v>
      </c>
      <c r="R39" s="46" t="s">
        <v>110</v>
      </c>
      <c r="S39" s="46" t="s">
        <v>118</v>
      </c>
      <c r="T39" s="46" t="s">
        <v>126</v>
      </c>
      <c r="U39" s="46" t="s">
        <v>133</v>
      </c>
      <c r="V39" s="117">
        <v>88</v>
      </c>
      <c r="W39" s="46" t="s">
        <v>72</v>
      </c>
      <c r="X39" s="46" t="s">
        <v>66</v>
      </c>
      <c r="Y39" s="46" t="s">
        <v>59</v>
      </c>
      <c r="Z39" s="46" t="s">
        <v>51</v>
      </c>
      <c r="AA39" s="46" t="s">
        <v>42</v>
      </c>
      <c r="AB39" s="234" t="s">
        <v>32</v>
      </c>
    </row>
    <row r="40" spans="2:28" ht="15" customHeight="1">
      <c r="B40" s="415" t="s">
        <v>82</v>
      </c>
      <c r="C40" s="46" t="s">
        <v>103</v>
      </c>
      <c r="D40" s="46" t="s">
        <v>111</v>
      </c>
      <c r="E40" s="46" t="s">
        <v>119</v>
      </c>
      <c r="F40" s="46" t="s">
        <v>127</v>
      </c>
      <c r="G40" s="46" t="s">
        <v>134</v>
      </c>
      <c r="H40" s="46" t="s">
        <v>140</v>
      </c>
      <c r="I40" s="117">
        <v>77</v>
      </c>
      <c r="J40" s="46" t="s">
        <v>67</v>
      </c>
      <c r="K40" s="46" t="s">
        <v>60</v>
      </c>
      <c r="L40" s="46" t="s">
        <v>52</v>
      </c>
      <c r="M40" s="46" t="s">
        <v>43</v>
      </c>
      <c r="N40" s="234" t="s">
        <v>33</v>
      </c>
      <c r="P40" s="414" t="s">
        <v>82</v>
      </c>
      <c r="Q40" s="46" t="s">
        <v>103</v>
      </c>
      <c r="R40" s="46" t="s">
        <v>111</v>
      </c>
      <c r="S40" s="46" t="s">
        <v>119</v>
      </c>
      <c r="T40" s="46" t="s">
        <v>127</v>
      </c>
      <c r="U40" s="46" t="s">
        <v>134</v>
      </c>
      <c r="V40" s="46" t="s">
        <v>140</v>
      </c>
      <c r="W40" s="117">
        <v>77</v>
      </c>
      <c r="X40" s="46" t="s">
        <v>67</v>
      </c>
      <c r="Y40" s="46" t="s">
        <v>60</v>
      </c>
      <c r="Z40" s="46" t="s">
        <v>52</v>
      </c>
      <c r="AA40" s="46" t="s">
        <v>43</v>
      </c>
      <c r="AB40" s="234" t="s">
        <v>33</v>
      </c>
    </row>
    <row r="41" spans="2:28" ht="15" customHeight="1">
      <c r="B41" s="415" t="s">
        <v>83</v>
      </c>
      <c r="C41" s="46" t="s">
        <v>108</v>
      </c>
      <c r="D41" s="46" t="s">
        <v>112</v>
      </c>
      <c r="E41" s="46" t="s">
        <v>120</v>
      </c>
      <c r="F41" s="46" t="s">
        <v>128</v>
      </c>
      <c r="G41" s="46" t="s">
        <v>135</v>
      </c>
      <c r="H41" s="46" t="s">
        <v>141</v>
      </c>
      <c r="I41" s="46" t="s">
        <v>146</v>
      </c>
      <c r="J41" s="117">
        <v>66</v>
      </c>
      <c r="K41" s="46" t="s">
        <v>61</v>
      </c>
      <c r="L41" s="46" t="s">
        <v>53</v>
      </c>
      <c r="M41" s="46" t="s">
        <v>44</v>
      </c>
      <c r="N41" s="234" t="s">
        <v>34</v>
      </c>
      <c r="P41" s="416" t="s">
        <v>83</v>
      </c>
      <c r="Q41" s="46" t="s">
        <v>108</v>
      </c>
      <c r="R41" s="46" t="s">
        <v>112</v>
      </c>
      <c r="S41" s="46" t="s">
        <v>120</v>
      </c>
      <c r="T41" s="46" t="s">
        <v>128</v>
      </c>
      <c r="U41" s="46" t="s">
        <v>135</v>
      </c>
      <c r="V41" s="46" t="s">
        <v>141</v>
      </c>
      <c r="W41" s="46" t="s">
        <v>146</v>
      </c>
      <c r="X41" s="117">
        <v>66</v>
      </c>
      <c r="Y41" s="46" t="s">
        <v>61</v>
      </c>
      <c r="Z41" s="46" t="s">
        <v>53</v>
      </c>
      <c r="AA41" s="46" t="s">
        <v>44</v>
      </c>
      <c r="AB41" s="234" t="s">
        <v>34</v>
      </c>
    </row>
    <row r="42" spans="2:28" ht="15" customHeight="1">
      <c r="B42" s="415" t="s">
        <v>84</v>
      </c>
      <c r="C42" s="46" t="s">
        <v>104</v>
      </c>
      <c r="D42" s="46" t="s">
        <v>113</v>
      </c>
      <c r="E42" s="46" t="s">
        <v>121</v>
      </c>
      <c r="F42" s="46" t="s">
        <v>129</v>
      </c>
      <c r="G42" s="46" t="s">
        <v>136</v>
      </c>
      <c r="H42" s="46" t="s">
        <v>142</v>
      </c>
      <c r="I42" s="46" t="s">
        <v>147</v>
      </c>
      <c r="J42" s="46" t="s">
        <v>151</v>
      </c>
      <c r="K42" s="117">
        <v>55</v>
      </c>
      <c r="L42" s="46" t="s">
        <v>54</v>
      </c>
      <c r="M42" s="46" t="s">
        <v>45</v>
      </c>
      <c r="N42" s="234" t="s">
        <v>35</v>
      </c>
      <c r="P42" s="416" t="s">
        <v>84</v>
      </c>
      <c r="Q42" s="46" t="s">
        <v>104</v>
      </c>
      <c r="R42" s="46" t="s">
        <v>113</v>
      </c>
      <c r="S42" s="46" t="s">
        <v>121</v>
      </c>
      <c r="T42" s="46" t="s">
        <v>129</v>
      </c>
      <c r="U42" s="46" t="s">
        <v>136</v>
      </c>
      <c r="V42" s="46" t="s">
        <v>142</v>
      </c>
      <c r="W42" s="46" t="s">
        <v>147</v>
      </c>
      <c r="X42" s="46" t="s">
        <v>151</v>
      </c>
      <c r="Y42" s="117">
        <v>55</v>
      </c>
      <c r="Z42" s="46" t="s">
        <v>54</v>
      </c>
      <c r="AA42" s="46" t="s">
        <v>45</v>
      </c>
      <c r="AB42" s="234" t="s">
        <v>35</v>
      </c>
    </row>
    <row r="43" spans="2:28" ht="15" customHeight="1">
      <c r="B43" s="238" t="s">
        <v>85</v>
      </c>
      <c r="C43" s="46" t="s">
        <v>105</v>
      </c>
      <c r="D43" s="46" t="s">
        <v>114</v>
      </c>
      <c r="E43" s="46" t="s">
        <v>122</v>
      </c>
      <c r="F43" s="46" t="s">
        <v>130</v>
      </c>
      <c r="G43" s="46" t="s">
        <v>137</v>
      </c>
      <c r="H43" s="46" t="s">
        <v>143</v>
      </c>
      <c r="I43" s="46" t="s">
        <v>148</v>
      </c>
      <c r="J43" s="46" t="s">
        <v>152</v>
      </c>
      <c r="K43" s="46" t="s">
        <v>155</v>
      </c>
      <c r="L43" s="117">
        <v>44</v>
      </c>
      <c r="M43" s="46" t="s">
        <v>46</v>
      </c>
      <c r="N43" s="234" t="s">
        <v>36</v>
      </c>
      <c r="P43" s="416" t="s">
        <v>85</v>
      </c>
      <c r="Q43" s="46" t="s">
        <v>105</v>
      </c>
      <c r="R43" s="46" t="s">
        <v>114</v>
      </c>
      <c r="S43" s="46" t="s">
        <v>122</v>
      </c>
      <c r="T43" s="46" t="s">
        <v>130</v>
      </c>
      <c r="U43" s="46" t="s">
        <v>137</v>
      </c>
      <c r="V43" s="46" t="s">
        <v>143</v>
      </c>
      <c r="W43" s="46" t="s">
        <v>148</v>
      </c>
      <c r="X43" s="46" t="s">
        <v>152</v>
      </c>
      <c r="Y43" s="46" t="s">
        <v>155</v>
      </c>
      <c r="Z43" s="117">
        <v>44</v>
      </c>
      <c r="AA43" s="46" t="s">
        <v>46</v>
      </c>
      <c r="AB43" s="234" t="s">
        <v>36</v>
      </c>
    </row>
    <row r="44" spans="2:28" ht="15" customHeight="1">
      <c r="B44" s="238" t="s">
        <v>86</v>
      </c>
      <c r="C44" s="46" t="s">
        <v>106</v>
      </c>
      <c r="D44" s="46" t="s">
        <v>115</v>
      </c>
      <c r="E44" s="46" t="s">
        <v>123</v>
      </c>
      <c r="F44" s="46" t="s">
        <v>131</v>
      </c>
      <c r="G44" s="46" t="s">
        <v>138</v>
      </c>
      <c r="H44" s="46" t="s">
        <v>144</v>
      </c>
      <c r="I44" s="46" t="s">
        <v>149</v>
      </c>
      <c r="J44" s="46" t="s">
        <v>153</v>
      </c>
      <c r="K44" s="46" t="s">
        <v>156</v>
      </c>
      <c r="L44" s="46" t="s">
        <v>158</v>
      </c>
      <c r="M44" s="117">
        <v>33</v>
      </c>
      <c r="N44" s="234" t="s">
        <v>37</v>
      </c>
      <c r="P44" s="416" t="s">
        <v>86</v>
      </c>
      <c r="Q44" s="46" t="s">
        <v>106</v>
      </c>
      <c r="R44" s="46" t="s">
        <v>115</v>
      </c>
      <c r="S44" s="46" t="s">
        <v>123</v>
      </c>
      <c r="T44" s="46" t="s">
        <v>131</v>
      </c>
      <c r="U44" s="46" t="s">
        <v>138</v>
      </c>
      <c r="V44" s="46" t="s">
        <v>144</v>
      </c>
      <c r="W44" s="46" t="s">
        <v>149</v>
      </c>
      <c r="X44" s="46" t="s">
        <v>153</v>
      </c>
      <c r="Y44" s="46" t="s">
        <v>156</v>
      </c>
      <c r="Z44" s="46" t="s">
        <v>158</v>
      </c>
      <c r="AA44" s="117">
        <v>33</v>
      </c>
      <c r="AB44" s="234" t="s">
        <v>37</v>
      </c>
    </row>
    <row r="45" spans="2:28" ht="15" customHeight="1" thickBot="1">
      <c r="B45" s="239" t="s">
        <v>87</v>
      </c>
      <c r="C45" s="240" t="s">
        <v>107</v>
      </c>
      <c r="D45" s="240" t="s">
        <v>116</v>
      </c>
      <c r="E45" s="240" t="s">
        <v>124</v>
      </c>
      <c r="F45" s="240" t="s">
        <v>132</v>
      </c>
      <c r="G45" s="240" t="s">
        <v>139</v>
      </c>
      <c r="H45" s="240" t="s">
        <v>145</v>
      </c>
      <c r="I45" s="240" t="s">
        <v>150</v>
      </c>
      <c r="J45" s="240" t="s">
        <v>154</v>
      </c>
      <c r="K45" s="240" t="s">
        <v>157</v>
      </c>
      <c r="L45" s="240" t="s">
        <v>160</v>
      </c>
      <c r="M45" s="240" t="s">
        <v>159</v>
      </c>
      <c r="N45" s="249">
        <v>22</v>
      </c>
      <c r="P45" s="239" t="s">
        <v>87</v>
      </c>
      <c r="Q45" s="240" t="s">
        <v>107</v>
      </c>
      <c r="R45" s="240" t="s">
        <v>116</v>
      </c>
      <c r="S45" s="240" t="s">
        <v>124</v>
      </c>
      <c r="T45" s="240" t="s">
        <v>132</v>
      </c>
      <c r="U45" s="240" t="s">
        <v>139</v>
      </c>
      <c r="V45" s="240" t="s">
        <v>145</v>
      </c>
      <c r="W45" s="240" t="s">
        <v>150</v>
      </c>
      <c r="X45" s="240" t="s">
        <v>154</v>
      </c>
      <c r="Y45" s="240" t="s">
        <v>157</v>
      </c>
      <c r="Z45" s="240" t="s">
        <v>160</v>
      </c>
      <c r="AA45" s="240" t="s">
        <v>159</v>
      </c>
      <c r="AB45" s="249">
        <v>22</v>
      </c>
    </row>
    <row r="46" spans="2:28" ht="15" customHeight="1"/>
    <row r="47" spans="2:28" ht="15" customHeight="1"/>
    <row r="48" spans="2:2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</sheetData>
  <mergeCells count="17">
    <mergeCell ref="P2:AB2"/>
    <mergeCell ref="B17:N17"/>
    <mergeCell ref="B2:G3"/>
    <mergeCell ref="P32:AB32"/>
    <mergeCell ref="C5:N5"/>
    <mergeCell ref="C6:N6"/>
    <mergeCell ref="C7:N7"/>
    <mergeCell ref="C8:N8"/>
    <mergeCell ref="B32:N32"/>
    <mergeCell ref="C9:N9"/>
    <mergeCell ref="C10:N10"/>
    <mergeCell ref="C11:N11"/>
    <mergeCell ref="C12:N12"/>
    <mergeCell ref="C13:N13"/>
    <mergeCell ref="C14:N14"/>
    <mergeCell ref="C15:N15"/>
    <mergeCell ref="P17:AB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VoltCallCO">
                <anchor moveWithCells="1" sizeWithCells="1">
                  <from>
                    <xdr:col>3</xdr:col>
                    <xdr:colOff>152400</xdr:colOff>
                    <xdr:row>1</xdr:row>
                    <xdr:rowOff>57150</xdr:rowOff>
                  </from>
                  <to>
                    <xdr:col>6</xdr:col>
                    <xdr:colOff>133350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AP45"/>
  <sheetViews>
    <sheetView showGridLines="0" showRowColHeaders="0" zoomScale="90" zoomScaleNormal="90" workbookViewId="0">
      <selection activeCell="AD12" sqref="AD12:AP17"/>
    </sheetView>
  </sheetViews>
  <sheetFormatPr defaultRowHeight="15"/>
  <cols>
    <col min="1" max="41" width="4.7109375" customWidth="1"/>
  </cols>
  <sheetData>
    <row r="1" spans="2:42" ht="15.75" thickBot="1"/>
    <row r="2" spans="2:42">
      <c r="B2" s="652"/>
      <c r="C2" s="653"/>
      <c r="D2" s="653"/>
      <c r="E2" s="653"/>
      <c r="F2" s="653"/>
      <c r="G2" s="654"/>
    </row>
    <row r="3" spans="2:42" ht="15.75" thickBot="1">
      <c r="B3" s="655"/>
      <c r="C3" s="656"/>
      <c r="D3" s="656"/>
      <c r="E3" s="656"/>
      <c r="F3" s="656"/>
      <c r="G3" s="657"/>
    </row>
    <row r="4" spans="2:42" ht="15.75" thickBot="1"/>
    <row r="5" spans="2:42">
      <c r="B5" s="484"/>
      <c r="C5" s="697" t="s">
        <v>162</v>
      </c>
      <c r="D5" s="698"/>
      <c r="E5" s="698"/>
      <c r="F5" s="698"/>
      <c r="G5" s="698"/>
      <c r="H5" s="698"/>
      <c r="I5" s="698"/>
      <c r="J5" s="698"/>
      <c r="K5" s="698"/>
      <c r="L5" s="698"/>
      <c r="M5" s="698"/>
      <c r="N5" s="699"/>
    </row>
    <row r="6" spans="2:42">
      <c r="B6" s="404"/>
      <c r="C6" s="710" t="s">
        <v>223</v>
      </c>
      <c r="D6" s="711"/>
      <c r="E6" s="711"/>
      <c r="F6" s="711"/>
      <c r="G6" s="711"/>
      <c r="H6" s="711"/>
      <c r="I6" s="711"/>
      <c r="J6" s="711"/>
      <c r="K6" s="711"/>
      <c r="L6" s="711"/>
      <c r="M6" s="711"/>
      <c r="N6" s="712"/>
    </row>
    <row r="7" spans="2:42">
      <c r="B7" s="410"/>
      <c r="C7" s="710" t="s">
        <v>224</v>
      </c>
      <c r="D7" s="711"/>
      <c r="E7" s="711"/>
      <c r="F7" s="711"/>
      <c r="G7" s="711"/>
      <c r="H7" s="711"/>
      <c r="I7" s="711"/>
      <c r="J7" s="711"/>
      <c r="K7" s="711"/>
      <c r="L7" s="711"/>
      <c r="M7" s="711"/>
      <c r="N7" s="712"/>
    </row>
    <row r="8" spans="2:42">
      <c r="B8" s="407"/>
      <c r="C8" s="710" t="s">
        <v>225</v>
      </c>
      <c r="D8" s="711"/>
      <c r="E8" s="711"/>
      <c r="F8" s="711"/>
      <c r="G8" s="711"/>
      <c r="H8" s="711"/>
      <c r="I8" s="711"/>
      <c r="J8" s="711"/>
      <c r="K8" s="711"/>
      <c r="L8" s="711"/>
      <c r="M8" s="711"/>
      <c r="N8" s="712"/>
    </row>
    <row r="9" spans="2:42">
      <c r="B9" s="408"/>
      <c r="C9" s="713" t="s">
        <v>226</v>
      </c>
      <c r="D9" s="714"/>
      <c r="E9" s="714"/>
      <c r="F9" s="714"/>
      <c r="G9" s="714"/>
      <c r="H9" s="714"/>
      <c r="I9" s="714"/>
      <c r="J9" s="714"/>
      <c r="K9" s="714"/>
      <c r="L9" s="714"/>
      <c r="M9" s="714"/>
      <c r="N9" s="715"/>
    </row>
    <row r="10" spans="2:42" ht="15.75" thickBot="1">
      <c r="B10" s="485"/>
      <c r="C10" s="732" t="s">
        <v>227</v>
      </c>
      <c r="D10" s="733"/>
      <c r="E10" s="733"/>
      <c r="F10" s="733"/>
      <c r="G10" s="733"/>
      <c r="H10" s="733"/>
      <c r="I10" s="733"/>
      <c r="J10" s="733"/>
      <c r="K10" s="733"/>
      <c r="L10" s="733"/>
      <c r="M10" s="733"/>
      <c r="N10" s="734"/>
    </row>
    <row r="11" spans="2:42" ht="15" customHeight="1" thickBot="1"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43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43"/>
    </row>
    <row r="12" spans="2:42" ht="15" customHeight="1">
      <c r="B12" s="647" t="s">
        <v>219</v>
      </c>
      <c r="C12" s="648"/>
      <c r="D12" s="648"/>
      <c r="E12" s="648"/>
      <c r="F12" s="648"/>
      <c r="G12" s="648"/>
      <c r="H12" s="648"/>
      <c r="I12" s="648"/>
      <c r="J12" s="648"/>
      <c r="K12" s="648"/>
      <c r="L12" s="648"/>
      <c r="M12" s="648"/>
      <c r="N12" s="650"/>
      <c r="P12" s="647" t="s">
        <v>220</v>
      </c>
      <c r="Q12" s="648"/>
      <c r="R12" s="648"/>
      <c r="S12" s="648"/>
      <c r="T12" s="648"/>
      <c r="U12" s="648"/>
      <c r="V12" s="648"/>
      <c r="W12" s="648"/>
      <c r="X12" s="648"/>
      <c r="Y12" s="648"/>
      <c r="Z12" s="648"/>
      <c r="AA12" s="648"/>
      <c r="AB12" s="650"/>
      <c r="AD12" s="484"/>
      <c r="AE12" s="697" t="s">
        <v>162</v>
      </c>
      <c r="AF12" s="698"/>
      <c r="AG12" s="698"/>
      <c r="AH12" s="698"/>
      <c r="AI12" s="698"/>
      <c r="AJ12" s="698"/>
      <c r="AK12" s="698"/>
      <c r="AL12" s="698"/>
      <c r="AM12" s="698"/>
      <c r="AN12" s="698"/>
      <c r="AO12" s="698"/>
      <c r="AP12" s="699"/>
    </row>
    <row r="13" spans="2:42" ht="15" customHeight="1">
      <c r="B13" s="233" t="s">
        <v>0</v>
      </c>
      <c r="C13" s="27" t="s">
        <v>5</v>
      </c>
      <c r="D13" s="114" t="s">
        <v>6</v>
      </c>
      <c r="E13" s="115" t="s">
        <v>7</v>
      </c>
      <c r="F13" s="124" t="s">
        <v>8</v>
      </c>
      <c r="G13" s="124" t="s">
        <v>9</v>
      </c>
      <c r="H13" s="46" t="s">
        <v>10</v>
      </c>
      <c r="I13" s="46" t="s">
        <v>11</v>
      </c>
      <c r="J13" s="46" t="s">
        <v>12</v>
      </c>
      <c r="K13" s="46" t="s">
        <v>13</v>
      </c>
      <c r="L13" s="46" t="s">
        <v>14</v>
      </c>
      <c r="M13" s="46" t="s">
        <v>15</v>
      </c>
      <c r="N13" s="234" t="s">
        <v>16</v>
      </c>
      <c r="P13" s="233" t="s">
        <v>0</v>
      </c>
      <c r="Q13" s="27" t="s">
        <v>5</v>
      </c>
      <c r="R13" s="114" t="s">
        <v>6</v>
      </c>
      <c r="S13" s="115" t="s">
        <v>7</v>
      </c>
      <c r="T13" s="116" t="s">
        <v>8</v>
      </c>
      <c r="U13" s="124" t="s">
        <v>9</v>
      </c>
      <c r="V13" s="125" t="s">
        <v>10</v>
      </c>
      <c r="W13" s="125" t="s">
        <v>11</v>
      </c>
      <c r="X13" s="125" t="s">
        <v>12</v>
      </c>
      <c r="Y13" s="125" t="s">
        <v>13</v>
      </c>
      <c r="Z13" s="125" t="s">
        <v>14</v>
      </c>
      <c r="AA13" s="46" t="s">
        <v>15</v>
      </c>
      <c r="AB13" s="234" t="s">
        <v>16</v>
      </c>
      <c r="AD13" s="404"/>
      <c r="AE13" s="710" t="s">
        <v>223</v>
      </c>
      <c r="AF13" s="711"/>
      <c r="AG13" s="711"/>
      <c r="AH13" s="711"/>
      <c r="AI13" s="711"/>
      <c r="AJ13" s="711"/>
      <c r="AK13" s="711"/>
      <c r="AL13" s="711"/>
      <c r="AM13" s="711"/>
      <c r="AN13" s="711"/>
      <c r="AO13" s="711"/>
      <c r="AP13" s="712"/>
    </row>
    <row r="14" spans="2:42" ht="15" customHeight="1">
      <c r="B14" s="235" t="s">
        <v>76</v>
      </c>
      <c r="C14" s="27" t="s">
        <v>1</v>
      </c>
      <c r="D14" s="117" t="s">
        <v>95</v>
      </c>
      <c r="E14" s="124" t="s">
        <v>94</v>
      </c>
      <c r="F14" s="124" t="s">
        <v>19</v>
      </c>
      <c r="G14" s="46" t="s">
        <v>20</v>
      </c>
      <c r="H14" s="46" t="s">
        <v>21</v>
      </c>
      <c r="I14" s="46" t="s">
        <v>22</v>
      </c>
      <c r="J14" s="46" t="s">
        <v>23</v>
      </c>
      <c r="K14" s="46" t="s">
        <v>24</v>
      </c>
      <c r="L14" s="46" t="s">
        <v>25</v>
      </c>
      <c r="M14" s="46" t="s">
        <v>26</v>
      </c>
      <c r="N14" s="234" t="s">
        <v>191</v>
      </c>
      <c r="P14" s="242" t="s">
        <v>76</v>
      </c>
      <c r="Q14" s="27" t="s">
        <v>1</v>
      </c>
      <c r="R14" s="117" t="s">
        <v>95</v>
      </c>
      <c r="S14" s="117" t="s">
        <v>94</v>
      </c>
      <c r="T14" s="124" t="s">
        <v>19</v>
      </c>
      <c r="U14" s="125" t="s">
        <v>20</v>
      </c>
      <c r="V14" s="46" t="s">
        <v>21</v>
      </c>
      <c r="W14" s="46" t="s">
        <v>22</v>
      </c>
      <c r="X14" s="46" t="s">
        <v>23</v>
      </c>
      <c r="Y14" s="46" t="s">
        <v>24</v>
      </c>
      <c r="Z14" s="46" t="s">
        <v>25</v>
      </c>
      <c r="AA14" s="46" t="s">
        <v>26</v>
      </c>
      <c r="AB14" s="234" t="s">
        <v>191</v>
      </c>
      <c r="AD14" s="410"/>
      <c r="AE14" s="710" t="s">
        <v>224</v>
      </c>
      <c r="AF14" s="711"/>
      <c r="AG14" s="711"/>
      <c r="AH14" s="711"/>
      <c r="AI14" s="711"/>
      <c r="AJ14" s="711"/>
      <c r="AK14" s="711"/>
      <c r="AL14" s="711"/>
      <c r="AM14" s="711"/>
      <c r="AN14" s="711"/>
      <c r="AO14" s="711"/>
      <c r="AP14" s="712"/>
    </row>
    <row r="15" spans="2:42" ht="15" customHeight="1">
      <c r="B15" s="236" t="s">
        <v>77</v>
      </c>
      <c r="C15" s="127" t="s">
        <v>17</v>
      </c>
      <c r="D15" s="27" t="s">
        <v>2</v>
      </c>
      <c r="E15" s="124" t="s">
        <v>97</v>
      </c>
      <c r="F15" s="124" t="s">
        <v>92</v>
      </c>
      <c r="G15" s="46" t="s">
        <v>96</v>
      </c>
      <c r="H15" s="46" t="s">
        <v>73</v>
      </c>
      <c r="I15" s="46" t="s">
        <v>68</v>
      </c>
      <c r="J15" s="46" t="s">
        <v>62</v>
      </c>
      <c r="K15" s="46" t="s">
        <v>55</v>
      </c>
      <c r="L15" s="46" t="s">
        <v>47</v>
      </c>
      <c r="M15" s="46" t="s">
        <v>38</v>
      </c>
      <c r="N15" s="234" t="s">
        <v>30</v>
      </c>
      <c r="P15" s="243" t="s">
        <v>77</v>
      </c>
      <c r="Q15" s="126" t="s">
        <v>17</v>
      </c>
      <c r="R15" s="27" t="s">
        <v>2</v>
      </c>
      <c r="S15" s="117" t="s">
        <v>97</v>
      </c>
      <c r="T15" s="124" t="s">
        <v>92</v>
      </c>
      <c r="U15" s="125" t="s">
        <v>96</v>
      </c>
      <c r="V15" s="46" t="s">
        <v>73</v>
      </c>
      <c r="W15" s="46" t="s">
        <v>68</v>
      </c>
      <c r="X15" s="46" t="s">
        <v>62</v>
      </c>
      <c r="Y15" s="46" t="s">
        <v>55</v>
      </c>
      <c r="Z15" s="46" t="s">
        <v>47</v>
      </c>
      <c r="AA15" s="46" t="s">
        <v>38</v>
      </c>
      <c r="AB15" s="234" t="s">
        <v>30</v>
      </c>
      <c r="AD15" s="407"/>
      <c r="AE15" s="710" t="s">
        <v>225</v>
      </c>
      <c r="AF15" s="711"/>
      <c r="AG15" s="711"/>
      <c r="AH15" s="711"/>
      <c r="AI15" s="711"/>
      <c r="AJ15" s="711"/>
      <c r="AK15" s="711"/>
      <c r="AL15" s="711"/>
      <c r="AM15" s="711"/>
      <c r="AN15" s="711"/>
      <c r="AO15" s="711"/>
      <c r="AP15" s="712"/>
    </row>
    <row r="16" spans="2:42" ht="15" customHeight="1">
      <c r="B16" s="237" t="s">
        <v>78</v>
      </c>
      <c r="C16" s="46" t="s">
        <v>18</v>
      </c>
      <c r="D16" s="46" t="s">
        <v>93</v>
      </c>
      <c r="E16" s="27" t="s">
        <v>3</v>
      </c>
      <c r="F16" s="124" t="s">
        <v>91</v>
      </c>
      <c r="G16" s="46" t="s">
        <v>90</v>
      </c>
      <c r="H16" s="46" t="s">
        <v>74</v>
      </c>
      <c r="I16" s="46" t="s">
        <v>69</v>
      </c>
      <c r="J16" s="46" t="s">
        <v>63</v>
      </c>
      <c r="K16" s="46" t="s">
        <v>56</v>
      </c>
      <c r="L16" s="46" t="s">
        <v>48</v>
      </c>
      <c r="M16" s="46" t="s">
        <v>39</v>
      </c>
      <c r="N16" s="234" t="s">
        <v>28</v>
      </c>
      <c r="P16" s="244" t="s">
        <v>78</v>
      </c>
      <c r="Q16" s="46" t="s">
        <v>18</v>
      </c>
      <c r="R16" s="46" t="s">
        <v>93</v>
      </c>
      <c r="S16" s="27" t="s">
        <v>3</v>
      </c>
      <c r="T16" s="124" t="s">
        <v>91</v>
      </c>
      <c r="U16" s="125" t="s">
        <v>90</v>
      </c>
      <c r="V16" s="46" t="s">
        <v>74</v>
      </c>
      <c r="W16" s="46" t="s">
        <v>69</v>
      </c>
      <c r="X16" s="46" t="s">
        <v>63</v>
      </c>
      <c r="Y16" s="46" t="s">
        <v>56</v>
      </c>
      <c r="Z16" s="46" t="s">
        <v>48</v>
      </c>
      <c r="AA16" s="46" t="s">
        <v>39</v>
      </c>
      <c r="AB16" s="234" t="s">
        <v>28</v>
      </c>
      <c r="AD16" s="408"/>
      <c r="AE16" s="713" t="s">
        <v>226</v>
      </c>
      <c r="AF16" s="714"/>
      <c r="AG16" s="714"/>
      <c r="AH16" s="714"/>
      <c r="AI16" s="714"/>
      <c r="AJ16" s="714"/>
      <c r="AK16" s="714"/>
      <c r="AL16" s="714"/>
      <c r="AM16" s="714"/>
      <c r="AN16" s="714"/>
      <c r="AO16" s="714"/>
      <c r="AP16" s="715"/>
    </row>
    <row r="17" spans="2:42" ht="15" customHeight="1" thickBot="1">
      <c r="B17" s="238" t="s">
        <v>79</v>
      </c>
      <c r="C17" s="46" t="s">
        <v>98</v>
      </c>
      <c r="D17" s="46" t="s">
        <v>99</v>
      </c>
      <c r="E17" s="46" t="s">
        <v>100</v>
      </c>
      <c r="F17" s="119" t="s">
        <v>4</v>
      </c>
      <c r="G17" s="46" t="s">
        <v>89</v>
      </c>
      <c r="H17" s="46" t="s">
        <v>75</v>
      </c>
      <c r="I17" s="46" t="s">
        <v>70</v>
      </c>
      <c r="J17" s="46" t="s">
        <v>64</v>
      </c>
      <c r="K17" s="46" t="s">
        <v>57</v>
      </c>
      <c r="L17" s="46" t="s">
        <v>49</v>
      </c>
      <c r="M17" s="46" t="s">
        <v>40</v>
      </c>
      <c r="N17" s="234" t="s">
        <v>29</v>
      </c>
      <c r="P17" s="238" t="s">
        <v>79</v>
      </c>
      <c r="Q17" s="46" t="s">
        <v>98</v>
      </c>
      <c r="R17" s="46" t="s">
        <v>99</v>
      </c>
      <c r="S17" s="46" t="s">
        <v>100</v>
      </c>
      <c r="T17" s="119" t="s">
        <v>4</v>
      </c>
      <c r="U17" s="125" t="s">
        <v>89</v>
      </c>
      <c r="V17" s="46" t="s">
        <v>75</v>
      </c>
      <c r="W17" s="46" t="s">
        <v>70</v>
      </c>
      <c r="X17" s="46" t="s">
        <v>64</v>
      </c>
      <c r="Y17" s="46" t="s">
        <v>57</v>
      </c>
      <c r="Z17" s="46" t="s">
        <v>49</v>
      </c>
      <c r="AA17" s="46" t="s">
        <v>40</v>
      </c>
      <c r="AB17" s="234" t="s">
        <v>29</v>
      </c>
      <c r="AD17" s="485"/>
      <c r="AE17" s="732" t="s">
        <v>227</v>
      </c>
      <c r="AF17" s="733"/>
      <c r="AG17" s="733"/>
      <c r="AH17" s="733"/>
      <c r="AI17" s="733"/>
      <c r="AJ17" s="733"/>
      <c r="AK17" s="733"/>
      <c r="AL17" s="733"/>
      <c r="AM17" s="733"/>
      <c r="AN17" s="733"/>
      <c r="AO17" s="733"/>
      <c r="AP17" s="734"/>
    </row>
    <row r="18" spans="2:42" ht="15" customHeight="1">
      <c r="B18" s="238" t="s">
        <v>80</v>
      </c>
      <c r="C18" s="46" t="s">
        <v>101</v>
      </c>
      <c r="D18" s="46" t="s">
        <v>109</v>
      </c>
      <c r="E18" s="46" t="s">
        <v>117</v>
      </c>
      <c r="F18" s="46" t="s">
        <v>125</v>
      </c>
      <c r="G18" s="119">
        <v>99</v>
      </c>
      <c r="H18" s="46" t="s">
        <v>88</v>
      </c>
      <c r="I18" s="46" t="s">
        <v>71</v>
      </c>
      <c r="J18" s="46" t="s">
        <v>65</v>
      </c>
      <c r="K18" s="46" t="s">
        <v>58</v>
      </c>
      <c r="L18" s="46" t="s">
        <v>50</v>
      </c>
      <c r="M18" s="46" t="s">
        <v>41</v>
      </c>
      <c r="N18" s="234" t="s">
        <v>31</v>
      </c>
      <c r="P18" s="238" t="s">
        <v>80</v>
      </c>
      <c r="Q18" s="46" t="s">
        <v>101</v>
      </c>
      <c r="R18" s="46" t="s">
        <v>109</v>
      </c>
      <c r="S18" s="46" t="s">
        <v>117</v>
      </c>
      <c r="T18" s="46" t="s">
        <v>125</v>
      </c>
      <c r="U18" s="119">
        <v>99</v>
      </c>
      <c r="V18" s="125" t="s">
        <v>88</v>
      </c>
      <c r="W18" s="46" t="s">
        <v>71</v>
      </c>
      <c r="X18" s="46" t="s">
        <v>65</v>
      </c>
      <c r="Y18" s="46" t="s">
        <v>58</v>
      </c>
      <c r="Z18" s="46" t="s">
        <v>50</v>
      </c>
      <c r="AA18" s="46" t="s">
        <v>41</v>
      </c>
      <c r="AB18" s="234" t="s">
        <v>31</v>
      </c>
    </row>
    <row r="19" spans="2:42" ht="15" customHeight="1">
      <c r="B19" s="238" t="s">
        <v>81</v>
      </c>
      <c r="C19" s="46" t="s">
        <v>102</v>
      </c>
      <c r="D19" s="46" t="s">
        <v>110</v>
      </c>
      <c r="E19" s="46" t="s">
        <v>118</v>
      </c>
      <c r="F19" s="46" t="s">
        <v>126</v>
      </c>
      <c r="G19" s="46" t="s">
        <v>133</v>
      </c>
      <c r="H19" s="117">
        <v>88</v>
      </c>
      <c r="I19" s="46" t="s">
        <v>72</v>
      </c>
      <c r="J19" s="46" t="s">
        <v>66</v>
      </c>
      <c r="K19" s="46" t="s">
        <v>59</v>
      </c>
      <c r="L19" s="46" t="s">
        <v>51</v>
      </c>
      <c r="M19" s="46" t="s">
        <v>42</v>
      </c>
      <c r="N19" s="234" t="s">
        <v>32</v>
      </c>
      <c r="P19" s="238" t="s">
        <v>81</v>
      </c>
      <c r="Q19" s="46" t="s">
        <v>102</v>
      </c>
      <c r="R19" s="46" t="s">
        <v>110</v>
      </c>
      <c r="S19" s="46" t="s">
        <v>118</v>
      </c>
      <c r="T19" s="46" t="s">
        <v>126</v>
      </c>
      <c r="U19" s="46" t="s">
        <v>133</v>
      </c>
      <c r="V19" s="117">
        <v>88</v>
      </c>
      <c r="W19" s="46" t="s">
        <v>72</v>
      </c>
      <c r="X19" s="46" t="s">
        <v>66</v>
      </c>
      <c r="Y19" s="46" t="s">
        <v>59</v>
      </c>
      <c r="Z19" s="46" t="s">
        <v>51</v>
      </c>
      <c r="AA19" s="46" t="s">
        <v>42</v>
      </c>
      <c r="AB19" s="234" t="s">
        <v>32</v>
      </c>
    </row>
    <row r="20" spans="2:42" ht="15" customHeight="1">
      <c r="B20" s="238" t="s">
        <v>82</v>
      </c>
      <c r="C20" s="46" t="s">
        <v>103</v>
      </c>
      <c r="D20" s="46" t="s">
        <v>111</v>
      </c>
      <c r="E20" s="46" t="s">
        <v>119</v>
      </c>
      <c r="F20" s="46" t="s">
        <v>127</v>
      </c>
      <c r="G20" s="46" t="s">
        <v>134</v>
      </c>
      <c r="H20" s="46" t="s">
        <v>140</v>
      </c>
      <c r="I20" s="115">
        <v>77</v>
      </c>
      <c r="J20" s="46" t="s">
        <v>67</v>
      </c>
      <c r="K20" s="46" t="s">
        <v>60</v>
      </c>
      <c r="L20" s="46" t="s">
        <v>52</v>
      </c>
      <c r="M20" s="46" t="s">
        <v>43</v>
      </c>
      <c r="N20" s="234" t="s">
        <v>33</v>
      </c>
      <c r="P20" s="238" t="s">
        <v>82</v>
      </c>
      <c r="Q20" s="46" t="s">
        <v>103</v>
      </c>
      <c r="R20" s="46" t="s">
        <v>111</v>
      </c>
      <c r="S20" s="46" t="s">
        <v>119</v>
      </c>
      <c r="T20" s="46" t="s">
        <v>127</v>
      </c>
      <c r="U20" s="46" t="s">
        <v>134</v>
      </c>
      <c r="V20" s="46" t="s">
        <v>140</v>
      </c>
      <c r="W20" s="117">
        <v>77</v>
      </c>
      <c r="X20" s="46" t="s">
        <v>67</v>
      </c>
      <c r="Y20" s="46" t="s">
        <v>60</v>
      </c>
      <c r="Z20" s="46" t="s">
        <v>52</v>
      </c>
      <c r="AA20" s="46" t="s">
        <v>43</v>
      </c>
      <c r="AB20" s="234" t="s">
        <v>33</v>
      </c>
    </row>
    <row r="21" spans="2:42" ht="15" customHeight="1">
      <c r="B21" s="238" t="s">
        <v>83</v>
      </c>
      <c r="C21" s="46" t="s">
        <v>108</v>
      </c>
      <c r="D21" s="46" t="s">
        <v>112</v>
      </c>
      <c r="E21" s="46" t="s">
        <v>120</v>
      </c>
      <c r="F21" s="46" t="s">
        <v>128</v>
      </c>
      <c r="G21" s="46" t="s">
        <v>135</v>
      </c>
      <c r="H21" s="46" t="s">
        <v>141</v>
      </c>
      <c r="I21" s="46" t="s">
        <v>146</v>
      </c>
      <c r="J21" s="115">
        <v>66</v>
      </c>
      <c r="K21" s="46" t="s">
        <v>61</v>
      </c>
      <c r="L21" s="46" t="s">
        <v>53</v>
      </c>
      <c r="M21" s="46" t="s">
        <v>44</v>
      </c>
      <c r="N21" s="234" t="s">
        <v>34</v>
      </c>
      <c r="P21" s="238" t="s">
        <v>83</v>
      </c>
      <c r="Q21" s="46" t="s">
        <v>108</v>
      </c>
      <c r="R21" s="46" t="s">
        <v>112</v>
      </c>
      <c r="S21" s="46" t="s">
        <v>120</v>
      </c>
      <c r="T21" s="46" t="s">
        <v>128</v>
      </c>
      <c r="U21" s="46" t="s">
        <v>135</v>
      </c>
      <c r="V21" s="46" t="s">
        <v>141</v>
      </c>
      <c r="W21" s="46" t="s">
        <v>146</v>
      </c>
      <c r="X21" s="115">
        <v>66</v>
      </c>
      <c r="Y21" s="46" t="s">
        <v>61</v>
      </c>
      <c r="Z21" s="46" t="s">
        <v>53</v>
      </c>
      <c r="AA21" s="46" t="s">
        <v>44</v>
      </c>
      <c r="AB21" s="234" t="s">
        <v>34</v>
      </c>
    </row>
    <row r="22" spans="2:42" ht="15" customHeight="1">
      <c r="B22" s="238" t="s">
        <v>84</v>
      </c>
      <c r="C22" s="46" t="s">
        <v>104</v>
      </c>
      <c r="D22" s="46" t="s">
        <v>113</v>
      </c>
      <c r="E22" s="46" t="s">
        <v>121</v>
      </c>
      <c r="F22" s="46" t="s">
        <v>129</v>
      </c>
      <c r="G22" s="46" t="s">
        <v>136</v>
      </c>
      <c r="H22" s="46" t="s">
        <v>142</v>
      </c>
      <c r="I22" s="46" t="s">
        <v>147</v>
      </c>
      <c r="J22" s="46" t="s">
        <v>151</v>
      </c>
      <c r="K22" s="120">
        <v>55</v>
      </c>
      <c r="L22" s="46" t="s">
        <v>54</v>
      </c>
      <c r="M22" s="46" t="s">
        <v>45</v>
      </c>
      <c r="N22" s="234" t="s">
        <v>35</v>
      </c>
      <c r="P22" s="238" t="s">
        <v>84</v>
      </c>
      <c r="Q22" s="46" t="s">
        <v>104</v>
      </c>
      <c r="R22" s="46" t="s">
        <v>113</v>
      </c>
      <c r="S22" s="46" t="s">
        <v>121</v>
      </c>
      <c r="T22" s="46" t="s">
        <v>129</v>
      </c>
      <c r="U22" s="46" t="s">
        <v>136</v>
      </c>
      <c r="V22" s="46" t="s">
        <v>142</v>
      </c>
      <c r="W22" s="46" t="s">
        <v>147</v>
      </c>
      <c r="X22" s="46" t="s">
        <v>151</v>
      </c>
      <c r="Y22" s="115">
        <v>55</v>
      </c>
      <c r="Z22" s="46" t="s">
        <v>54</v>
      </c>
      <c r="AA22" s="46" t="s">
        <v>45</v>
      </c>
      <c r="AB22" s="234" t="s">
        <v>35</v>
      </c>
    </row>
    <row r="23" spans="2:42" ht="15" customHeight="1">
      <c r="B23" s="238" t="s">
        <v>85</v>
      </c>
      <c r="C23" s="46" t="s">
        <v>105</v>
      </c>
      <c r="D23" s="46" t="s">
        <v>114</v>
      </c>
      <c r="E23" s="46" t="s">
        <v>122</v>
      </c>
      <c r="F23" s="46" t="s">
        <v>130</v>
      </c>
      <c r="G23" s="46" t="s">
        <v>137</v>
      </c>
      <c r="H23" s="46" t="s">
        <v>143</v>
      </c>
      <c r="I23" s="46" t="s">
        <v>148</v>
      </c>
      <c r="J23" s="46" t="s">
        <v>152</v>
      </c>
      <c r="K23" s="46" t="s">
        <v>155</v>
      </c>
      <c r="L23" s="120">
        <v>44</v>
      </c>
      <c r="M23" s="46" t="s">
        <v>46</v>
      </c>
      <c r="N23" s="234" t="s">
        <v>36</v>
      </c>
      <c r="P23" s="238" t="s">
        <v>85</v>
      </c>
      <c r="Q23" s="46" t="s">
        <v>105</v>
      </c>
      <c r="R23" s="46" t="s">
        <v>114</v>
      </c>
      <c r="S23" s="46" t="s">
        <v>122</v>
      </c>
      <c r="T23" s="46" t="s">
        <v>130</v>
      </c>
      <c r="U23" s="46" t="s">
        <v>137</v>
      </c>
      <c r="V23" s="46" t="s">
        <v>143</v>
      </c>
      <c r="W23" s="46" t="s">
        <v>148</v>
      </c>
      <c r="X23" s="46" t="s">
        <v>152</v>
      </c>
      <c r="Y23" s="46" t="s">
        <v>155</v>
      </c>
      <c r="Z23" s="120">
        <v>44</v>
      </c>
      <c r="AA23" s="46" t="s">
        <v>46</v>
      </c>
      <c r="AB23" s="234" t="s">
        <v>36</v>
      </c>
    </row>
    <row r="24" spans="2:42" ht="15" customHeight="1">
      <c r="B24" s="238" t="s">
        <v>86</v>
      </c>
      <c r="C24" s="46" t="s">
        <v>106</v>
      </c>
      <c r="D24" s="46" t="s">
        <v>115</v>
      </c>
      <c r="E24" s="46" t="s">
        <v>123</v>
      </c>
      <c r="F24" s="46" t="s">
        <v>131</v>
      </c>
      <c r="G24" s="46" t="s">
        <v>138</v>
      </c>
      <c r="H24" s="46" t="s">
        <v>144</v>
      </c>
      <c r="I24" s="46" t="s">
        <v>149</v>
      </c>
      <c r="J24" s="46" t="s">
        <v>153</v>
      </c>
      <c r="K24" s="46" t="s">
        <v>156</v>
      </c>
      <c r="L24" s="46" t="s">
        <v>158</v>
      </c>
      <c r="M24" s="120">
        <v>33</v>
      </c>
      <c r="N24" s="234" t="s">
        <v>37</v>
      </c>
      <c r="P24" s="238" t="s">
        <v>86</v>
      </c>
      <c r="Q24" s="46" t="s">
        <v>106</v>
      </c>
      <c r="R24" s="46" t="s">
        <v>115</v>
      </c>
      <c r="S24" s="46" t="s">
        <v>123</v>
      </c>
      <c r="T24" s="46" t="s">
        <v>131</v>
      </c>
      <c r="U24" s="46" t="s">
        <v>138</v>
      </c>
      <c r="V24" s="46" t="s">
        <v>144</v>
      </c>
      <c r="W24" s="46" t="s">
        <v>149</v>
      </c>
      <c r="X24" s="46" t="s">
        <v>153</v>
      </c>
      <c r="Y24" s="46" t="s">
        <v>156</v>
      </c>
      <c r="Z24" s="46" t="s">
        <v>158</v>
      </c>
      <c r="AA24" s="120">
        <v>33</v>
      </c>
      <c r="AB24" s="234" t="s">
        <v>37</v>
      </c>
    </row>
    <row r="25" spans="2:42" ht="15" customHeight="1" thickBot="1">
      <c r="B25" s="239" t="s">
        <v>87</v>
      </c>
      <c r="C25" s="240" t="s">
        <v>107</v>
      </c>
      <c r="D25" s="240" t="s">
        <v>116</v>
      </c>
      <c r="E25" s="240" t="s">
        <v>124</v>
      </c>
      <c r="F25" s="240" t="s">
        <v>132</v>
      </c>
      <c r="G25" s="240" t="s">
        <v>139</v>
      </c>
      <c r="H25" s="240" t="s">
        <v>145</v>
      </c>
      <c r="I25" s="240" t="s">
        <v>150</v>
      </c>
      <c r="J25" s="240" t="s">
        <v>154</v>
      </c>
      <c r="K25" s="240" t="s">
        <v>157</v>
      </c>
      <c r="L25" s="240" t="s">
        <v>160</v>
      </c>
      <c r="M25" s="240" t="s">
        <v>159</v>
      </c>
      <c r="N25" s="241">
        <v>22</v>
      </c>
      <c r="P25" s="239" t="s">
        <v>87</v>
      </c>
      <c r="Q25" s="240" t="s">
        <v>107</v>
      </c>
      <c r="R25" s="240" t="s">
        <v>116</v>
      </c>
      <c r="S25" s="240" t="s">
        <v>124</v>
      </c>
      <c r="T25" s="240" t="s">
        <v>132</v>
      </c>
      <c r="U25" s="240" t="s">
        <v>139</v>
      </c>
      <c r="V25" s="240" t="s">
        <v>145</v>
      </c>
      <c r="W25" s="240" t="s">
        <v>150</v>
      </c>
      <c r="X25" s="240" t="s">
        <v>154</v>
      </c>
      <c r="Y25" s="240" t="s">
        <v>157</v>
      </c>
      <c r="Z25" s="240" t="s">
        <v>160</v>
      </c>
      <c r="AA25" s="240" t="s">
        <v>159</v>
      </c>
      <c r="AB25" s="241">
        <v>22</v>
      </c>
    </row>
    <row r="26" spans="2:42" ht="15" customHeight="1" thickBot="1"/>
    <row r="27" spans="2:42" ht="15" customHeight="1">
      <c r="B27" s="647" t="s">
        <v>221</v>
      </c>
      <c r="C27" s="648"/>
      <c r="D27" s="648"/>
      <c r="E27" s="648"/>
      <c r="F27" s="648"/>
      <c r="G27" s="648"/>
      <c r="H27" s="648"/>
      <c r="I27" s="648"/>
      <c r="J27" s="648"/>
      <c r="K27" s="648"/>
      <c r="L27" s="648"/>
      <c r="M27" s="648"/>
      <c r="N27" s="650"/>
      <c r="P27" s="647" t="s">
        <v>222</v>
      </c>
      <c r="Q27" s="648"/>
      <c r="R27" s="648"/>
      <c r="S27" s="648"/>
      <c r="T27" s="648"/>
      <c r="U27" s="648"/>
      <c r="V27" s="648"/>
      <c r="W27" s="648"/>
      <c r="X27" s="648"/>
      <c r="Y27" s="648"/>
      <c r="Z27" s="648"/>
      <c r="AA27" s="648"/>
      <c r="AB27" s="650"/>
    </row>
    <row r="28" spans="2:42" ht="15" customHeight="1">
      <c r="B28" s="245" t="s">
        <v>0</v>
      </c>
      <c r="C28" s="27" t="s">
        <v>5</v>
      </c>
      <c r="D28" s="118" t="s">
        <v>6</v>
      </c>
      <c r="E28" s="115" t="s">
        <v>7</v>
      </c>
      <c r="F28" s="115" t="s">
        <v>8</v>
      </c>
      <c r="G28" s="115" t="s">
        <v>9</v>
      </c>
      <c r="H28" s="122" t="s">
        <v>10</v>
      </c>
      <c r="I28" s="122" t="s">
        <v>11</v>
      </c>
      <c r="J28" s="122" t="s">
        <v>12</v>
      </c>
      <c r="K28" s="122" t="s">
        <v>13</v>
      </c>
      <c r="L28" s="125" t="s">
        <v>14</v>
      </c>
      <c r="M28" s="46" t="s">
        <v>15</v>
      </c>
      <c r="N28" s="234" t="s">
        <v>16</v>
      </c>
      <c r="P28" s="245" t="s">
        <v>0</v>
      </c>
      <c r="Q28" s="27" t="s">
        <v>5</v>
      </c>
      <c r="R28" s="118" t="s">
        <v>6</v>
      </c>
      <c r="S28" s="117" t="s">
        <v>7</v>
      </c>
      <c r="T28" s="117" t="s">
        <v>8</v>
      </c>
      <c r="U28" s="115" t="s">
        <v>9</v>
      </c>
      <c r="V28" s="122" t="s">
        <v>10</v>
      </c>
      <c r="W28" s="122" t="s">
        <v>11</v>
      </c>
      <c r="X28" s="122" t="s">
        <v>12</v>
      </c>
      <c r="Y28" s="48" t="s">
        <v>13</v>
      </c>
      <c r="Z28" s="48" t="s">
        <v>14</v>
      </c>
      <c r="AA28" s="48" t="s">
        <v>15</v>
      </c>
      <c r="AB28" s="246" t="s">
        <v>16</v>
      </c>
    </row>
    <row r="29" spans="2:42" ht="15" customHeight="1">
      <c r="B29" s="242" t="s">
        <v>76</v>
      </c>
      <c r="C29" s="121" t="s">
        <v>1</v>
      </c>
      <c r="D29" s="117" t="s">
        <v>95</v>
      </c>
      <c r="E29" s="117" t="s">
        <v>94</v>
      </c>
      <c r="F29" s="117" t="s">
        <v>19</v>
      </c>
      <c r="G29" s="125" t="s">
        <v>20</v>
      </c>
      <c r="H29" s="46" t="s">
        <v>21</v>
      </c>
      <c r="I29" s="46" t="s">
        <v>22</v>
      </c>
      <c r="J29" s="46" t="s">
        <v>23</v>
      </c>
      <c r="K29" s="46" t="s">
        <v>24</v>
      </c>
      <c r="L29" s="46" t="s">
        <v>25</v>
      </c>
      <c r="M29" s="46" t="s">
        <v>26</v>
      </c>
      <c r="N29" s="234" t="s">
        <v>191</v>
      </c>
      <c r="P29" s="242" t="s">
        <v>76</v>
      </c>
      <c r="Q29" s="121" t="s">
        <v>1</v>
      </c>
      <c r="R29" s="117" t="s">
        <v>95</v>
      </c>
      <c r="S29" s="117" t="s">
        <v>94</v>
      </c>
      <c r="T29" s="117" t="s">
        <v>19</v>
      </c>
      <c r="U29" s="125" t="s">
        <v>20</v>
      </c>
      <c r="V29" s="128" t="s">
        <v>21</v>
      </c>
      <c r="W29" s="46" t="s">
        <v>22</v>
      </c>
      <c r="X29" s="46" t="s">
        <v>23</v>
      </c>
      <c r="Y29" s="46" t="s">
        <v>24</v>
      </c>
      <c r="Z29" s="46" t="s">
        <v>25</v>
      </c>
      <c r="AA29" s="46" t="s">
        <v>26</v>
      </c>
      <c r="AB29" s="234" t="s">
        <v>191</v>
      </c>
    </row>
    <row r="30" spans="2:42" ht="15" customHeight="1">
      <c r="B30" s="243" t="s">
        <v>77</v>
      </c>
      <c r="C30" s="114" t="s">
        <v>17</v>
      </c>
      <c r="D30" s="27" t="s">
        <v>2</v>
      </c>
      <c r="E30" s="117" t="s">
        <v>97</v>
      </c>
      <c r="F30" s="115" t="s">
        <v>92</v>
      </c>
      <c r="G30" s="125" t="s">
        <v>96</v>
      </c>
      <c r="H30" s="46" t="s">
        <v>73</v>
      </c>
      <c r="I30" s="46" t="s">
        <v>68</v>
      </c>
      <c r="J30" s="46" t="s">
        <v>62</v>
      </c>
      <c r="K30" s="46" t="s">
        <v>55</v>
      </c>
      <c r="L30" s="46" t="s">
        <v>47</v>
      </c>
      <c r="M30" s="46" t="s">
        <v>38</v>
      </c>
      <c r="N30" s="234" t="s">
        <v>30</v>
      </c>
      <c r="P30" s="243" t="s">
        <v>77</v>
      </c>
      <c r="Q30" s="118" t="s">
        <v>17</v>
      </c>
      <c r="R30" s="27" t="s">
        <v>2</v>
      </c>
      <c r="S30" s="117" t="s">
        <v>97</v>
      </c>
      <c r="T30" s="117" t="s">
        <v>92</v>
      </c>
      <c r="U30" s="125" t="s">
        <v>96</v>
      </c>
      <c r="V30" s="46" t="s">
        <v>73</v>
      </c>
      <c r="W30" s="46" t="s">
        <v>68</v>
      </c>
      <c r="X30" s="46" t="s">
        <v>62</v>
      </c>
      <c r="Y30" s="46" t="s">
        <v>55</v>
      </c>
      <c r="Z30" s="46" t="s">
        <v>47</v>
      </c>
      <c r="AA30" s="46" t="s">
        <v>38</v>
      </c>
      <c r="AB30" s="234" t="s">
        <v>30</v>
      </c>
    </row>
    <row r="31" spans="2:42" ht="15" customHeight="1">
      <c r="B31" s="247" t="s">
        <v>78</v>
      </c>
      <c r="C31" s="125" t="s">
        <v>18</v>
      </c>
      <c r="D31" s="46" t="s">
        <v>93</v>
      </c>
      <c r="E31" s="27" t="s">
        <v>3</v>
      </c>
      <c r="F31" s="115" t="s">
        <v>91</v>
      </c>
      <c r="G31" s="125" t="s">
        <v>90</v>
      </c>
      <c r="H31" s="46" t="s">
        <v>74</v>
      </c>
      <c r="I31" s="46" t="s">
        <v>69</v>
      </c>
      <c r="J31" s="46" t="s">
        <v>63</v>
      </c>
      <c r="K31" s="46" t="s">
        <v>56</v>
      </c>
      <c r="L31" s="46" t="s">
        <v>48</v>
      </c>
      <c r="M31" s="46" t="s">
        <v>39</v>
      </c>
      <c r="N31" s="234" t="s">
        <v>28</v>
      </c>
      <c r="P31" s="247" t="s">
        <v>78</v>
      </c>
      <c r="Q31" s="122" t="s">
        <v>18</v>
      </c>
      <c r="R31" s="46" t="s">
        <v>93</v>
      </c>
      <c r="S31" s="27" t="s">
        <v>3</v>
      </c>
      <c r="T31" s="117" t="s">
        <v>91</v>
      </c>
      <c r="U31" s="125" t="s">
        <v>90</v>
      </c>
      <c r="V31" s="46" t="s">
        <v>74</v>
      </c>
      <c r="W31" s="46" t="s">
        <v>69</v>
      </c>
      <c r="X31" s="46" t="s">
        <v>63</v>
      </c>
      <c r="Y31" s="46" t="s">
        <v>56</v>
      </c>
      <c r="Z31" s="46" t="s">
        <v>48</v>
      </c>
      <c r="AA31" s="46" t="s">
        <v>39</v>
      </c>
      <c r="AB31" s="234" t="s">
        <v>28</v>
      </c>
    </row>
    <row r="32" spans="2:42" ht="15" customHeight="1">
      <c r="B32" s="248" t="s">
        <v>79</v>
      </c>
      <c r="C32" s="46" t="s">
        <v>98</v>
      </c>
      <c r="D32" s="46" t="s">
        <v>99</v>
      </c>
      <c r="E32" s="46" t="s">
        <v>100</v>
      </c>
      <c r="F32" s="119" t="s">
        <v>4</v>
      </c>
      <c r="G32" s="125" t="s">
        <v>89</v>
      </c>
      <c r="H32" s="46" t="s">
        <v>75</v>
      </c>
      <c r="I32" s="46" t="s">
        <v>70</v>
      </c>
      <c r="J32" s="46" t="s">
        <v>64</v>
      </c>
      <c r="K32" s="46" t="s">
        <v>57</v>
      </c>
      <c r="L32" s="46" t="s">
        <v>49</v>
      </c>
      <c r="M32" s="46" t="s">
        <v>40</v>
      </c>
      <c r="N32" s="234" t="s">
        <v>29</v>
      </c>
      <c r="P32" s="248" t="s">
        <v>79</v>
      </c>
      <c r="Q32" s="46" t="s">
        <v>98</v>
      </c>
      <c r="R32" s="46" t="s">
        <v>99</v>
      </c>
      <c r="S32" s="46" t="s">
        <v>100</v>
      </c>
      <c r="T32" s="119" t="s">
        <v>4</v>
      </c>
      <c r="U32" s="125" t="s">
        <v>89</v>
      </c>
      <c r="V32" s="128" t="s">
        <v>75</v>
      </c>
      <c r="W32" s="46" t="s">
        <v>70</v>
      </c>
      <c r="X32" s="46" t="s">
        <v>64</v>
      </c>
      <c r="Y32" s="46" t="s">
        <v>57</v>
      </c>
      <c r="Z32" s="46" t="s">
        <v>49</v>
      </c>
      <c r="AA32" s="46" t="s">
        <v>40</v>
      </c>
      <c r="AB32" s="234" t="s">
        <v>29</v>
      </c>
    </row>
    <row r="33" spans="2:28" ht="15" customHeight="1">
      <c r="B33" s="250" t="s">
        <v>80</v>
      </c>
      <c r="C33" s="46" t="s">
        <v>101</v>
      </c>
      <c r="D33" s="46" t="s">
        <v>109</v>
      </c>
      <c r="E33" s="46" t="s">
        <v>117</v>
      </c>
      <c r="F33" s="46" t="s">
        <v>125</v>
      </c>
      <c r="G33" s="119">
        <v>99</v>
      </c>
      <c r="H33" s="125" t="s">
        <v>88</v>
      </c>
      <c r="I33" s="46" t="s">
        <v>71</v>
      </c>
      <c r="J33" s="46" t="s">
        <v>65</v>
      </c>
      <c r="K33" s="46" t="s">
        <v>58</v>
      </c>
      <c r="L33" s="46" t="s">
        <v>50</v>
      </c>
      <c r="M33" s="46" t="s">
        <v>41</v>
      </c>
      <c r="N33" s="234" t="s">
        <v>31</v>
      </c>
      <c r="P33" s="238" t="s">
        <v>80</v>
      </c>
      <c r="Q33" s="46" t="s">
        <v>101</v>
      </c>
      <c r="R33" s="46" t="s">
        <v>109</v>
      </c>
      <c r="S33" s="46" t="s">
        <v>117</v>
      </c>
      <c r="T33" s="46" t="s">
        <v>125</v>
      </c>
      <c r="U33" s="119">
        <v>99</v>
      </c>
      <c r="V33" s="128" t="s">
        <v>88</v>
      </c>
      <c r="W33" s="46" t="s">
        <v>71</v>
      </c>
      <c r="X33" s="46" t="s">
        <v>65</v>
      </c>
      <c r="Y33" s="46" t="s">
        <v>58</v>
      </c>
      <c r="Z33" s="46" t="s">
        <v>50</v>
      </c>
      <c r="AA33" s="46" t="s">
        <v>41</v>
      </c>
      <c r="AB33" s="234" t="s">
        <v>31</v>
      </c>
    </row>
    <row r="34" spans="2:28" ht="15" customHeight="1">
      <c r="B34" s="238" t="s">
        <v>81</v>
      </c>
      <c r="C34" s="46" t="s">
        <v>102</v>
      </c>
      <c r="D34" s="46" t="s">
        <v>110</v>
      </c>
      <c r="E34" s="46" t="s">
        <v>118</v>
      </c>
      <c r="F34" s="46" t="s">
        <v>126</v>
      </c>
      <c r="G34" s="46" t="s">
        <v>133</v>
      </c>
      <c r="H34" s="117">
        <v>88</v>
      </c>
      <c r="I34" s="46" t="s">
        <v>72</v>
      </c>
      <c r="J34" s="46" t="s">
        <v>66</v>
      </c>
      <c r="K34" s="46" t="s">
        <v>59</v>
      </c>
      <c r="L34" s="46" t="s">
        <v>51</v>
      </c>
      <c r="M34" s="46" t="s">
        <v>42</v>
      </c>
      <c r="N34" s="234" t="s">
        <v>32</v>
      </c>
      <c r="P34" s="238" t="s">
        <v>81</v>
      </c>
      <c r="Q34" s="46" t="s">
        <v>102</v>
      </c>
      <c r="R34" s="46" t="s">
        <v>110</v>
      </c>
      <c r="S34" s="46" t="s">
        <v>118</v>
      </c>
      <c r="T34" s="46" t="s">
        <v>126</v>
      </c>
      <c r="U34" s="46" t="s">
        <v>133</v>
      </c>
      <c r="V34" s="117">
        <v>88</v>
      </c>
      <c r="W34" s="128" t="s">
        <v>72</v>
      </c>
      <c r="X34" s="46" t="s">
        <v>66</v>
      </c>
      <c r="Y34" s="46" t="s">
        <v>59</v>
      </c>
      <c r="Z34" s="46" t="s">
        <v>51</v>
      </c>
      <c r="AA34" s="46" t="s">
        <v>42</v>
      </c>
      <c r="AB34" s="234" t="s">
        <v>32</v>
      </c>
    </row>
    <row r="35" spans="2:28" ht="15" customHeight="1">
      <c r="B35" s="238" t="s">
        <v>82</v>
      </c>
      <c r="C35" s="46" t="s">
        <v>103</v>
      </c>
      <c r="D35" s="46" t="s">
        <v>111</v>
      </c>
      <c r="E35" s="46" t="s">
        <v>119</v>
      </c>
      <c r="F35" s="46" t="s">
        <v>127</v>
      </c>
      <c r="G35" s="46" t="s">
        <v>134</v>
      </c>
      <c r="H35" s="46" t="s">
        <v>140</v>
      </c>
      <c r="I35" s="117">
        <v>77</v>
      </c>
      <c r="J35" s="46" t="s">
        <v>67</v>
      </c>
      <c r="K35" s="46" t="s">
        <v>60</v>
      </c>
      <c r="L35" s="46" t="s">
        <v>52</v>
      </c>
      <c r="M35" s="46" t="s">
        <v>43</v>
      </c>
      <c r="N35" s="234" t="s">
        <v>33</v>
      </c>
      <c r="P35" s="238" t="s">
        <v>82</v>
      </c>
      <c r="Q35" s="46" t="s">
        <v>103</v>
      </c>
      <c r="R35" s="46" t="s">
        <v>111</v>
      </c>
      <c r="S35" s="46" t="s">
        <v>119</v>
      </c>
      <c r="T35" s="46" t="s">
        <v>127</v>
      </c>
      <c r="U35" s="46" t="s">
        <v>134</v>
      </c>
      <c r="V35" s="46" t="s">
        <v>140</v>
      </c>
      <c r="W35" s="117">
        <v>77</v>
      </c>
      <c r="X35" s="128" t="s">
        <v>67</v>
      </c>
      <c r="Y35" s="46" t="s">
        <v>60</v>
      </c>
      <c r="Z35" s="46" t="s">
        <v>52</v>
      </c>
      <c r="AA35" s="46" t="s">
        <v>43</v>
      </c>
      <c r="AB35" s="234" t="s">
        <v>33</v>
      </c>
    </row>
    <row r="36" spans="2:28" ht="15" customHeight="1">
      <c r="B36" s="238" t="s">
        <v>83</v>
      </c>
      <c r="C36" s="46" t="s">
        <v>108</v>
      </c>
      <c r="D36" s="46" t="s">
        <v>112</v>
      </c>
      <c r="E36" s="46" t="s">
        <v>120</v>
      </c>
      <c r="F36" s="46" t="s">
        <v>128</v>
      </c>
      <c r="G36" s="46" t="s">
        <v>135</v>
      </c>
      <c r="H36" s="46" t="s">
        <v>141</v>
      </c>
      <c r="I36" s="46" t="s">
        <v>146</v>
      </c>
      <c r="J36" s="117">
        <v>66</v>
      </c>
      <c r="K36" s="46" t="s">
        <v>61</v>
      </c>
      <c r="L36" s="46" t="s">
        <v>53</v>
      </c>
      <c r="M36" s="46" t="s">
        <v>44</v>
      </c>
      <c r="N36" s="234" t="s">
        <v>34</v>
      </c>
      <c r="P36" s="238" t="s">
        <v>83</v>
      </c>
      <c r="Q36" s="46" t="s">
        <v>108</v>
      </c>
      <c r="R36" s="46" t="s">
        <v>112</v>
      </c>
      <c r="S36" s="46" t="s">
        <v>120</v>
      </c>
      <c r="T36" s="46" t="s">
        <v>128</v>
      </c>
      <c r="U36" s="46" t="s">
        <v>135</v>
      </c>
      <c r="V36" s="46" t="s">
        <v>141</v>
      </c>
      <c r="W36" s="46" t="s">
        <v>146</v>
      </c>
      <c r="X36" s="117">
        <v>66</v>
      </c>
      <c r="Y36" s="128" t="s">
        <v>61</v>
      </c>
      <c r="Z36" s="46" t="s">
        <v>53</v>
      </c>
      <c r="AA36" s="46" t="s">
        <v>44</v>
      </c>
      <c r="AB36" s="234" t="s">
        <v>34</v>
      </c>
    </row>
    <row r="37" spans="2:28" ht="15" customHeight="1">
      <c r="B37" s="238" t="s">
        <v>84</v>
      </c>
      <c r="C37" s="46" t="s">
        <v>104</v>
      </c>
      <c r="D37" s="46" t="s">
        <v>113</v>
      </c>
      <c r="E37" s="46" t="s">
        <v>121</v>
      </c>
      <c r="F37" s="46" t="s">
        <v>129</v>
      </c>
      <c r="G37" s="46" t="s">
        <v>136</v>
      </c>
      <c r="H37" s="46" t="s">
        <v>142</v>
      </c>
      <c r="I37" s="46" t="s">
        <v>147</v>
      </c>
      <c r="J37" s="46" t="s">
        <v>151</v>
      </c>
      <c r="K37" s="117">
        <v>55</v>
      </c>
      <c r="L37" s="46" t="s">
        <v>54</v>
      </c>
      <c r="M37" s="46" t="s">
        <v>45</v>
      </c>
      <c r="N37" s="234" t="s">
        <v>35</v>
      </c>
      <c r="P37" s="238" t="s">
        <v>84</v>
      </c>
      <c r="Q37" s="46" t="s">
        <v>104</v>
      </c>
      <c r="R37" s="46" t="s">
        <v>113</v>
      </c>
      <c r="S37" s="46" t="s">
        <v>121</v>
      </c>
      <c r="T37" s="46" t="s">
        <v>129</v>
      </c>
      <c r="U37" s="46" t="s">
        <v>136</v>
      </c>
      <c r="V37" s="46" t="s">
        <v>142</v>
      </c>
      <c r="W37" s="46" t="s">
        <v>147</v>
      </c>
      <c r="X37" s="46" t="s">
        <v>151</v>
      </c>
      <c r="Y37" s="117">
        <v>55</v>
      </c>
      <c r="Z37" s="46" t="s">
        <v>54</v>
      </c>
      <c r="AA37" s="46" t="s">
        <v>45</v>
      </c>
      <c r="AB37" s="234" t="s">
        <v>35</v>
      </c>
    </row>
    <row r="38" spans="2:28" ht="15" customHeight="1">
      <c r="B38" s="238" t="s">
        <v>85</v>
      </c>
      <c r="C38" s="46" t="s">
        <v>105</v>
      </c>
      <c r="D38" s="46" t="s">
        <v>114</v>
      </c>
      <c r="E38" s="46" t="s">
        <v>122</v>
      </c>
      <c r="F38" s="46" t="s">
        <v>130</v>
      </c>
      <c r="G38" s="46" t="s">
        <v>137</v>
      </c>
      <c r="H38" s="46" t="s">
        <v>143</v>
      </c>
      <c r="I38" s="46" t="s">
        <v>148</v>
      </c>
      <c r="J38" s="46" t="s">
        <v>152</v>
      </c>
      <c r="K38" s="46" t="s">
        <v>155</v>
      </c>
      <c r="L38" s="117">
        <v>44</v>
      </c>
      <c r="M38" s="46" t="s">
        <v>46</v>
      </c>
      <c r="N38" s="234" t="s">
        <v>36</v>
      </c>
      <c r="P38" s="238" t="s">
        <v>85</v>
      </c>
      <c r="Q38" s="46" t="s">
        <v>105</v>
      </c>
      <c r="R38" s="46" t="s">
        <v>114</v>
      </c>
      <c r="S38" s="46" t="s">
        <v>122</v>
      </c>
      <c r="T38" s="46" t="s">
        <v>130</v>
      </c>
      <c r="U38" s="46" t="s">
        <v>137</v>
      </c>
      <c r="V38" s="46" t="s">
        <v>143</v>
      </c>
      <c r="W38" s="46" t="s">
        <v>148</v>
      </c>
      <c r="X38" s="46" t="s">
        <v>152</v>
      </c>
      <c r="Y38" s="46" t="s">
        <v>155</v>
      </c>
      <c r="Z38" s="117">
        <v>44</v>
      </c>
      <c r="AA38" s="46" t="s">
        <v>46</v>
      </c>
      <c r="AB38" s="234" t="s">
        <v>36</v>
      </c>
    </row>
    <row r="39" spans="2:28" ht="15" customHeight="1">
      <c r="B39" s="238" t="s">
        <v>86</v>
      </c>
      <c r="C39" s="46" t="s">
        <v>106</v>
      </c>
      <c r="D39" s="46" t="s">
        <v>115</v>
      </c>
      <c r="E39" s="46" t="s">
        <v>123</v>
      </c>
      <c r="F39" s="46" t="s">
        <v>131</v>
      </c>
      <c r="G39" s="46" t="s">
        <v>138</v>
      </c>
      <c r="H39" s="46" t="s">
        <v>144</v>
      </c>
      <c r="I39" s="46" t="s">
        <v>149</v>
      </c>
      <c r="J39" s="46" t="s">
        <v>153</v>
      </c>
      <c r="K39" s="46" t="s">
        <v>156</v>
      </c>
      <c r="L39" s="46" t="s">
        <v>158</v>
      </c>
      <c r="M39" s="120">
        <v>33</v>
      </c>
      <c r="N39" s="234" t="s">
        <v>37</v>
      </c>
      <c r="P39" s="238" t="s">
        <v>86</v>
      </c>
      <c r="Q39" s="46" t="s">
        <v>106</v>
      </c>
      <c r="R39" s="46" t="s">
        <v>115</v>
      </c>
      <c r="S39" s="46" t="s">
        <v>123</v>
      </c>
      <c r="T39" s="46" t="s">
        <v>131</v>
      </c>
      <c r="U39" s="46" t="s">
        <v>138</v>
      </c>
      <c r="V39" s="46" t="s">
        <v>144</v>
      </c>
      <c r="W39" s="46" t="s">
        <v>149</v>
      </c>
      <c r="X39" s="46" t="s">
        <v>153</v>
      </c>
      <c r="Y39" s="46" t="s">
        <v>156</v>
      </c>
      <c r="Z39" s="46" t="s">
        <v>158</v>
      </c>
      <c r="AA39" s="117">
        <v>33</v>
      </c>
      <c r="AB39" s="234" t="s">
        <v>37</v>
      </c>
    </row>
    <row r="40" spans="2:28" ht="15" customHeight="1" thickBot="1">
      <c r="B40" s="239" t="s">
        <v>87</v>
      </c>
      <c r="C40" s="240" t="s">
        <v>107</v>
      </c>
      <c r="D40" s="240" t="s">
        <v>116</v>
      </c>
      <c r="E40" s="240" t="s">
        <v>124</v>
      </c>
      <c r="F40" s="240" t="s">
        <v>132</v>
      </c>
      <c r="G40" s="240" t="s">
        <v>139</v>
      </c>
      <c r="H40" s="240" t="s">
        <v>145</v>
      </c>
      <c r="I40" s="240" t="s">
        <v>150</v>
      </c>
      <c r="J40" s="240" t="s">
        <v>154</v>
      </c>
      <c r="K40" s="240" t="s">
        <v>157</v>
      </c>
      <c r="L40" s="240" t="s">
        <v>160</v>
      </c>
      <c r="M40" s="240" t="s">
        <v>159</v>
      </c>
      <c r="N40" s="241">
        <v>22</v>
      </c>
      <c r="P40" s="239" t="s">
        <v>87</v>
      </c>
      <c r="Q40" s="240" t="s">
        <v>107</v>
      </c>
      <c r="R40" s="240" t="s">
        <v>116</v>
      </c>
      <c r="S40" s="240" t="s">
        <v>124</v>
      </c>
      <c r="T40" s="240" t="s">
        <v>132</v>
      </c>
      <c r="U40" s="240" t="s">
        <v>139</v>
      </c>
      <c r="V40" s="240" t="s">
        <v>145</v>
      </c>
      <c r="W40" s="240" t="s">
        <v>150</v>
      </c>
      <c r="X40" s="240" t="s">
        <v>154</v>
      </c>
      <c r="Y40" s="240" t="s">
        <v>157</v>
      </c>
      <c r="Z40" s="240" t="s">
        <v>160</v>
      </c>
      <c r="AA40" s="240" t="s">
        <v>159</v>
      </c>
      <c r="AB40" s="249">
        <v>22</v>
      </c>
    </row>
    <row r="41" spans="2:28" ht="15" customHeight="1"/>
    <row r="42" spans="2:28" ht="15" customHeight="1"/>
    <row r="43" spans="2:28" ht="15" customHeight="1"/>
    <row r="44" spans="2:28" ht="15" customHeight="1"/>
    <row r="45" spans="2:28" ht="15" customHeight="1"/>
  </sheetData>
  <mergeCells count="17">
    <mergeCell ref="AE17:AP17"/>
    <mergeCell ref="AE12:AP12"/>
    <mergeCell ref="AE13:AP13"/>
    <mergeCell ref="AE14:AP14"/>
    <mergeCell ref="AE15:AP15"/>
    <mergeCell ref="AE16:AP16"/>
    <mergeCell ref="B2:G3"/>
    <mergeCell ref="B27:N27"/>
    <mergeCell ref="P27:AB27"/>
    <mergeCell ref="B12:N12"/>
    <mergeCell ref="P12:AB12"/>
    <mergeCell ref="C5:N5"/>
    <mergeCell ref="C6:N6"/>
    <mergeCell ref="C7:N7"/>
    <mergeCell ref="C8:N8"/>
    <mergeCell ref="C9:N9"/>
    <mergeCell ref="C10:N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VoltcallMP">
                <anchor moveWithCells="1" sizeWithCells="1">
                  <from>
                    <xdr:col>3</xdr:col>
                    <xdr:colOff>247650</xdr:colOff>
                    <xdr:row>1</xdr:row>
                    <xdr:rowOff>47625</xdr:rowOff>
                  </from>
                  <to>
                    <xdr:col>6</xdr:col>
                    <xdr:colOff>95250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A17"/>
  <sheetViews>
    <sheetView showGridLines="0" showRowColHeaders="0" workbookViewId="0">
      <selection activeCell="AF7" sqref="AF7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3.85546875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70" t="s">
        <v>168</v>
      </c>
      <c r="B1" s="670"/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O1" s="670" t="s">
        <v>174</v>
      </c>
      <c r="P1" s="670"/>
      <c r="Q1" s="670"/>
      <c r="R1" s="670"/>
      <c r="S1" s="670"/>
      <c r="T1" s="670"/>
      <c r="U1" s="670"/>
      <c r="V1" s="670"/>
      <c r="W1" s="670"/>
      <c r="X1" s="670"/>
      <c r="Y1" s="670"/>
      <c r="Z1" s="670"/>
      <c r="AA1" s="670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12" t="s">
        <v>9</v>
      </c>
      <c r="U2" s="12" t="s">
        <v>10</v>
      </c>
      <c r="V2" s="12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4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12" t="s">
        <v>19</v>
      </c>
      <c r="T3" s="4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12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2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12" t="s">
        <v>78</v>
      </c>
      <c r="B5" s="2" t="s">
        <v>18</v>
      </c>
      <c r="C5" s="2" t="s">
        <v>93</v>
      </c>
      <c r="D5" s="9" t="s">
        <v>3</v>
      </c>
      <c r="E5" s="12" t="s">
        <v>91</v>
      </c>
      <c r="F5" s="12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2" t="s">
        <v>18</v>
      </c>
      <c r="Q5" s="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4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9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9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9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4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9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9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8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71" t="s">
        <v>164</v>
      </c>
      <c r="C15" s="671"/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O15" s="10"/>
      <c r="P15" s="671" t="s">
        <v>164</v>
      </c>
      <c r="Q15" s="671"/>
      <c r="R15" s="671"/>
      <c r="S15" s="671"/>
      <c r="T15" s="671"/>
      <c r="U15" s="671"/>
      <c r="V15" s="671"/>
      <c r="W15" s="671"/>
      <c r="X15" s="671"/>
      <c r="Y15" s="671"/>
      <c r="Z15" s="671"/>
      <c r="AA15" s="671"/>
    </row>
    <row r="16" spans="1:27">
      <c r="A16" s="14"/>
      <c r="B16" s="672" t="s">
        <v>162</v>
      </c>
      <c r="C16" s="672"/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O16" s="14"/>
      <c r="P16" s="672" t="s">
        <v>162</v>
      </c>
      <c r="Q16" s="672"/>
      <c r="R16" s="672"/>
      <c r="S16" s="672"/>
      <c r="T16" s="672"/>
      <c r="U16" s="672"/>
      <c r="V16" s="672"/>
      <c r="W16" s="672"/>
      <c r="X16" s="672"/>
      <c r="Y16" s="672"/>
      <c r="Z16" s="672"/>
      <c r="AA16" s="672"/>
    </row>
    <row r="17" spans="2:27">
      <c r="B17" s="672"/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P17" s="672"/>
      <c r="Q17" s="672"/>
      <c r="R17" s="672"/>
      <c r="S17" s="672"/>
      <c r="T17" s="672"/>
      <c r="U17" s="672"/>
      <c r="V17" s="672"/>
      <c r="W17" s="672"/>
      <c r="X17" s="672"/>
      <c r="Y17" s="672"/>
      <c r="Z17" s="672"/>
      <c r="AA17" s="672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VolCOHJ">
                <anchor moveWithCells="1" sizeWithCells="1">
                  <from>
                    <xdr:col>28</xdr:col>
                    <xdr:colOff>28575</xdr:colOff>
                    <xdr:row>7</xdr:row>
                    <xdr:rowOff>76200</xdr:rowOff>
                  </from>
                  <to>
                    <xdr:col>29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A17"/>
  <sheetViews>
    <sheetView showGridLines="0" showRowColHeaders="0" workbookViewId="0">
      <selection activeCell="AG9" sqref="AG9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4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70" t="s">
        <v>169</v>
      </c>
      <c r="B1" s="670"/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O1" s="670" t="s">
        <v>175</v>
      </c>
      <c r="P1" s="670"/>
      <c r="Q1" s="670"/>
      <c r="R1" s="670"/>
      <c r="S1" s="670"/>
      <c r="T1" s="670"/>
      <c r="U1" s="670"/>
      <c r="V1" s="670"/>
      <c r="W1" s="670"/>
      <c r="X1" s="670"/>
      <c r="Y1" s="670"/>
      <c r="Z1" s="670"/>
      <c r="AA1" s="670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9" t="s">
        <v>9</v>
      </c>
      <c r="U2" s="9" t="s">
        <v>10</v>
      </c>
      <c r="V2" s="9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12" t="s">
        <v>20</v>
      </c>
      <c r="G3" s="4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9" t="s">
        <v>94</v>
      </c>
      <c r="S3" s="12" t="s">
        <v>19</v>
      </c>
      <c r="T3" s="12" t="s">
        <v>20</v>
      </c>
      <c r="U3" s="4" t="s">
        <v>21</v>
      </c>
      <c r="V3" s="4" t="s">
        <v>22</v>
      </c>
      <c r="W3" s="4" t="s">
        <v>23</v>
      </c>
      <c r="X3" s="4" t="s">
        <v>24</v>
      </c>
      <c r="Y3" s="4" t="s">
        <v>25</v>
      </c>
      <c r="Z3" s="4" t="s">
        <v>26</v>
      </c>
      <c r="AA3" s="4" t="s">
        <v>27</v>
      </c>
    </row>
    <row r="4" spans="1:27">
      <c r="A4" s="9" t="s">
        <v>77</v>
      </c>
      <c r="B4" s="9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4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2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9" t="s">
        <v>78</v>
      </c>
      <c r="B5" s="12" t="s">
        <v>18</v>
      </c>
      <c r="C5" s="2" t="s">
        <v>93</v>
      </c>
      <c r="D5" s="9" t="s">
        <v>3</v>
      </c>
      <c r="E5" s="12" t="s">
        <v>91</v>
      </c>
      <c r="F5" s="12" t="s">
        <v>90</v>
      </c>
      <c r="G5" s="4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12" t="s">
        <v>18</v>
      </c>
      <c r="Q5" s="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12" t="s">
        <v>79</v>
      </c>
      <c r="B6" s="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12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9" t="s">
        <v>79</v>
      </c>
      <c r="P6" s="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4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12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12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12">
        <v>88</v>
      </c>
      <c r="V8" s="4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12" t="s">
        <v>67</v>
      </c>
      <c r="J9" s="4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4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12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8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71" t="s">
        <v>164</v>
      </c>
      <c r="C15" s="671"/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O15" s="10"/>
      <c r="P15" s="671" t="s">
        <v>164</v>
      </c>
      <c r="Q15" s="671"/>
      <c r="R15" s="671"/>
      <c r="S15" s="671"/>
      <c r="T15" s="671"/>
      <c r="U15" s="671"/>
      <c r="V15" s="671"/>
      <c r="W15" s="671"/>
      <c r="X15" s="671"/>
      <c r="Y15" s="671"/>
      <c r="Z15" s="671"/>
      <c r="AA15" s="671"/>
    </row>
    <row r="16" spans="1:27">
      <c r="A16" s="14"/>
      <c r="B16" s="672" t="s">
        <v>162</v>
      </c>
      <c r="C16" s="672"/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O16" s="14"/>
      <c r="P16" s="672" t="s">
        <v>162</v>
      </c>
      <c r="Q16" s="672"/>
      <c r="R16" s="672"/>
      <c r="S16" s="672"/>
      <c r="T16" s="672"/>
      <c r="U16" s="672"/>
      <c r="V16" s="672"/>
      <c r="W16" s="672"/>
      <c r="X16" s="672"/>
      <c r="Y16" s="672"/>
      <c r="Z16" s="672"/>
      <c r="AA16" s="672"/>
    </row>
    <row r="17" spans="2:27">
      <c r="B17" s="672"/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P17" s="672"/>
      <c r="Q17" s="672"/>
      <c r="R17" s="672"/>
      <c r="S17" s="672"/>
      <c r="T17" s="672"/>
      <c r="U17" s="672"/>
      <c r="V17" s="672"/>
      <c r="W17" s="672"/>
      <c r="X17" s="672"/>
      <c r="Y17" s="672"/>
      <c r="Z17" s="672"/>
      <c r="AA17" s="672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VolFBTN">
                <anchor moveWithCells="1" sizeWithCells="1">
                  <from>
                    <xdr:col>28</xdr:col>
                    <xdr:colOff>95250</xdr:colOff>
                    <xdr:row>8</xdr:row>
                    <xdr:rowOff>171450</xdr:rowOff>
                  </from>
                  <to>
                    <xdr:col>29</xdr:col>
                    <xdr:colOff>447675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A17"/>
  <sheetViews>
    <sheetView showGridLines="0" showRowColHeaders="0" workbookViewId="0">
      <selection activeCell="AE8" sqref="AE8"/>
    </sheetView>
  </sheetViews>
  <sheetFormatPr defaultRowHeight="15"/>
  <cols>
    <col min="1" max="1" width="4.85546875" bestFit="1" customWidth="1"/>
    <col min="2" max="2" width="4.7109375" bestFit="1" customWidth="1"/>
    <col min="3" max="3" width="4.5703125" bestFit="1" customWidth="1"/>
    <col min="4" max="4" width="4" bestFit="1" customWidth="1"/>
    <col min="5" max="13" width="4.28515625" bestFit="1" customWidth="1"/>
    <col min="14" max="14" width="4.140625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7" width="4.28515625" bestFit="1" customWidth="1"/>
  </cols>
  <sheetData>
    <row r="1" spans="1:27">
      <c r="A1" s="670" t="s">
        <v>170</v>
      </c>
      <c r="B1" s="670"/>
      <c r="C1" s="670"/>
      <c r="D1" s="670"/>
      <c r="E1" s="670"/>
      <c r="F1" s="670"/>
      <c r="G1" s="670"/>
      <c r="H1" s="670"/>
      <c r="I1" s="670"/>
      <c r="J1" s="670"/>
      <c r="K1" s="670"/>
      <c r="L1" s="670"/>
      <c r="M1" s="670"/>
      <c r="O1" s="670" t="s">
        <v>171</v>
      </c>
      <c r="P1" s="670"/>
      <c r="Q1" s="670"/>
      <c r="R1" s="670"/>
      <c r="S1" s="670"/>
      <c r="T1" s="670"/>
      <c r="U1" s="670"/>
      <c r="V1" s="670"/>
      <c r="W1" s="670"/>
      <c r="X1" s="670"/>
      <c r="Y1" s="670"/>
      <c r="Z1" s="670"/>
      <c r="AA1" s="670"/>
    </row>
    <row r="2" spans="1:27">
      <c r="A2" s="9" t="s">
        <v>0</v>
      </c>
      <c r="B2" s="9" t="s">
        <v>5</v>
      </c>
      <c r="C2" s="9" t="s">
        <v>6</v>
      </c>
      <c r="D2" s="9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12" t="s">
        <v>12</v>
      </c>
      <c r="J2" s="12" t="s">
        <v>13</v>
      </c>
      <c r="K2" s="12" t="s">
        <v>14</v>
      </c>
      <c r="L2" s="12" t="s">
        <v>15</v>
      </c>
      <c r="M2" s="12" t="s">
        <v>16</v>
      </c>
      <c r="O2" s="9" t="s">
        <v>0</v>
      </c>
      <c r="P2" s="9" t="s">
        <v>5</v>
      </c>
      <c r="Q2" s="9" t="s">
        <v>6</v>
      </c>
      <c r="R2" s="9" t="s">
        <v>7</v>
      </c>
      <c r="S2" s="9" t="s">
        <v>8</v>
      </c>
      <c r="T2" s="9" t="s">
        <v>9</v>
      </c>
      <c r="U2" s="12" t="s">
        <v>10</v>
      </c>
      <c r="V2" s="12" t="s">
        <v>11</v>
      </c>
      <c r="W2" s="12" t="s">
        <v>12</v>
      </c>
      <c r="X2" s="12" t="s">
        <v>13</v>
      </c>
      <c r="Y2" s="12" t="s">
        <v>14</v>
      </c>
      <c r="Z2" s="12" t="s">
        <v>15</v>
      </c>
      <c r="AA2" s="12" t="s">
        <v>16</v>
      </c>
    </row>
    <row r="3" spans="1:27">
      <c r="A3" s="9" t="s">
        <v>76</v>
      </c>
      <c r="B3" s="9" t="s">
        <v>1</v>
      </c>
      <c r="C3" s="9" t="s">
        <v>95</v>
      </c>
      <c r="D3" s="9" t="s">
        <v>94</v>
      </c>
      <c r="E3" s="12" t="s">
        <v>19</v>
      </c>
      <c r="F3" s="12" t="s">
        <v>20</v>
      </c>
      <c r="G3" s="12" t="s">
        <v>21</v>
      </c>
      <c r="H3" s="4" t="s">
        <v>22</v>
      </c>
      <c r="I3" s="4" t="s">
        <v>23</v>
      </c>
      <c r="J3" s="4" t="s">
        <v>24</v>
      </c>
      <c r="K3" s="4" t="s">
        <v>25</v>
      </c>
      <c r="L3" s="4" t="s">
        <v>26</v>
      </c>
      <c r="M3" s="4" t="s">
        <v>27</v>
      </c>
      <c r="O3" s="9" t="s">
        <v>76</v>
      </c>
      <c r="P3" s="9" t="s">
        <v>1</v>
      </c>
      <c r="Q3" s="9" t="s">
        <v>95</v>
      </c>
      <c r="R3" s="12" t="s">
        <v>94</v>
      </c>
      <c r="S3" s="12" t="s">
        <v>19</v>
      </c>
      <c r="T3" s="12" t="s">
        <v>20</v>
      </c>
      <c r="U3" s="12" t="s">
        <v>21</v>
      </c>
      <c r="V3" s="12" t="s">
        <v>22</v>
      </c>
      <c r="W3" s="9" t="s">
        <v>23</v>
      </c>
      <c r="X3" s="9" t="s">
        <v>24</v>
      </c>
      <c r="Y3" s="9" t="s">
        <v>25</v>
      </c>
      <c r="Z3" s="9" t="s">
        <v>26</v>
      </c>
      <c r="AA3" s="9" t="s">
        <v>27</v>
      </c>
    </row>
    <row r="4" spans="1:27">
      <c r="A4" s="9" t="s">
        <v>77</v>
      </c>
      <c r="B4" s="9" t="s">
        <v>17</v>
      </c>
      <c r="C4" s="9" t="s">
        <v>2</v>
      </c>
      <c r="D4" s="12" t="s">
        <v>97</v>
      </c>
      <c r="E4" s="12" t="s">
        <v>92</v>
      </c>
      <c r="F4" s="12" t="s">
        <v>96</v>
      </c>
      <c r="G4" s="12" t="s">
        <v>73</v>
      </c>
      <c r="H4" s="4" t="s">
        <v>68</v>
      </c>
      <c r="I4" s="4" t="s">
        <v>62</v>
      </c>
      <c r="J4" s="4" t="s">
        <v>55</v>
      </c>
      <c r="K4" s="4" t="s">
        <v>47</v>
      </c>
      <c r="L4" s="4" t="s">
        <v>38</v>
      </c>
      <c r="M4" s="4" t="s">
        <v>30</v>
      </c>
      <c r="O4" s="9" t="s">
        <v>77</v>
      </c>
      <c r="P4" s="12" t="s">
        <v>17</v>
      </c>
      <c r="Q4" s="9" t="s">
        <v>2</v>
      </c>
      <c r="R4" s="12" t="s">
        <v>97</v>
      </c>
      <c r="S4" s="12" t="s">
        <v>92</v>
      </c>
      <c r="T4" s="12" t="s">
        <v>96</v>
      </c>
      <c r="U4" s="4" t="s">
        <v>73</v>
      </c>
      <c r="V4" s="4" t="s">
        <v>68</v>
      </c>
      <c r="W4" s="4" t="s">
        <v>62</v>
      </c>
      <c r="X4" s="4" t="s">
        <v>55</v>
      </c>
      <c r="Y4" s="4" t="s">
        <v>47</v>
      </c>
      <c r="Z4" s="4" t="s">
        <v>38</v>
      </c>
      <c r="AA4" s="4" t="s">
        <v>30</v>
      </c>
    </row>
    <row r="5" spans="1:27">
      <c r="A5" s="9" t="s">
        <v>78</v>
      </c>
      <c r="B5" s="12" t="s">
        <v>18</v>
      </c>
      <c r="C5" s="12" t="s">
        <v>93</v>
      </c>
      <c r="D5" s="9" t="s">
        <v>3</v>
      </c>
      <c r="E5" s="12" t="s">
        <v>91</v>
      </c>
      <c r="F5" s="12" t="s">
        <v>90</v>
      </c>
      <c r="G5" s="12" t="s">
        <v>74</v>
      </c>
      <c r="H5" s="4" t="s">
        <v>69</v>
      </c>
      <c r="I5" s="4" t="s">
        <v>63</v>
      </c>
      <c r="J5" s="4" t="s">
        <v>56</v>
      </c>
      <c r="K5" s="4" t="s">
        <v>48</v>
      </c>
      <c r="L5" s="4" t="s">
        <v>39</v>
      </c>
      <c r="M5" s="4" t="s">
        <v>28</v>
      </c>
      <c r="O5" s="9" t="s">
        <v>78</v>
      </c>
      <c r="P5" s="12" t="s">
        <v>18</v>
      </c>
      <c r="Q5" s="12" t="s">
        <v>93</v>
      </c>
      <c r="R5" s="9" t="s">
        <v>3</v>
      </c>
      <c r="S5" s="12" t="s">
        <v>91</v>
      </c>
      <c r="T5" s="12" t="s">
        <v>90</v>
      </c>
      <c r="U5" s="4" t="s">
        <v>74</v>
      </c>
      <c r="V5" s="4" t="s">
        <v>69</v>
      </c>
      <c r="W5" s="4" t="s">
        <v>63</v>
      </c>
      <c r="X5" s="4" t="s">
        <v>56</v>
      </c>
      <c r="Y5" s="4" t="s">
        <v>48</v>
      </c>
      <c r="Z5" s="4" t="s">
        <v>39</v>
      </c>
      <c r="AA5" s="4" t="s">
        <v>28</v>
      </c>
    </row>
    <row r="6" spans="1:27">
      <c r="A6" s="12" t="s">
        <v>79</v>
      </c>
      <c r="B6" s="12" t="s">
        <v>98</v>
      </c>
      <c r="C6" s="2" t="s">
        <v>99</v>
      </c>
      <c r="D6" s="2" t="s">
        <v>100</v>
      </c>
      <c r="E6" s="9" t="s">
        <v>4</v>
      </c>
      <c r="F6" s="12" t="s">
        <v>89</v>
      </c>
      <c r="G6" s="12" t="s">
        <v>75</v>
      </c>
      <c r="H6" s="4" t="s">
        <v>70</v>
      </c>
      <c r="I6" s="4" t="s">
        <v>64</v>
      </c>
      <c r="J6" s="4" t="s">
        <v>57</v>
      </c>
      <c r="K6" s="4" t="s">
        <v>49</v>
      </c>
      <c r="L6" s="4" t="s">
        <v>40</v>
      </c>
      <c r="M6" s="4" t="s">
        <v>29</v>
      </c>
      <c r="O6" s="9" t="s">
        <v>79</v>
      </c>
      <c r="P6" s="12" t="s">
        <v>98</v>
      </c>
      <c r="Q6" s="2" t="s">
        <v>99</v>
      </c>
      <c r="R6" s="2" t="s">
        <v>100</v>
      </c>
      <c r="S6" s="9" t="s">
        <v>4</v>
      </c>
      <c r="T6" s="12" t="s">
        <v>89</v>
      </c>
      <c r="U6" s="12" t="s">
        <v>75</v>
      </c>
      <c r="V6" s="4" t="s">
        <v>70</v>
      </c>
      <c r="W6" s="4" t="s">
        <v>64</v>
      </c>
      <c r="X6" s="4" t="s">
        <v>57</v>
      </c>
      <c r="Y6" s="4" t="s">
        <v>49</v>
      </c>
      <c r="Z6" s="4" t="s">
        <v>40</v>
      </c>
      <c r="AA6" s="4" t="s">
        <v>29</v>
      </c>
    </row>
    <row r="7" spans="1:27">
      <c r="A7" s="12" t="s">
        <v>80</v>
      </c>
      <c r="B7" s="2" t="s">
        <v>101</v>
      </c>
      <c r="C7" s="2" t="s">
        <v>109</v>
      </c>
      <c r="D7" s="2" t="s">
        <v>117</v>
      </c>
      <c r="E7" s="2" t="s">
        <v>125</v>
      </c>
      <c r="F7" s="9">
        <v>99</v>
      </c>
      <c r="G7" s="12" t="s">
        <v>88</v>
      </c>
      <c r="H7" s="9" t="s">
        <v>71</v>
      </c>
      <c r="I7" s="4" t="s">
        <v>65</v>
      </c>
      <c r="J7" s="4" t="s">
        <v>58</v>
      </c>
      <c r="K7" s="4" t="s">
        <v>50</v>
      </c>
      <c r="L7" s="4" t="s">
        <v>41</v>
      </c>
      <c r="M7" s="4" t="s">
        <v>31</v>
      </c>
      <c r="O7" s="2" t="s">
        <v>80</v>
      </c>
      <c r="P7" s="2" t="s">
        <v>101</v>
      </c>
      <c r="Q7" s="2" t="s">
        <v>109</v>
      </c>
      <c r="R7" s="2" t="s">
        <v>117</v>
      </c>
      <c r="S7" s="2" t="s">
        <v>125</v>
      </c>
      <c r="T7" s="9">
        <v>99</v>
      </c>
      <c r="U7" s="12" t="s">
        <v>88</v>
      </c>
      <c r="V7" s="4" t="s">
        <v>71</v>
      </c>
      <c r="W7" s="4" t="s">
        <v>65</v>
      </c>
      <c r="X7" s="4" t="s">
        <v>58</v>
      </c>
      <c r="Y7" s="4" t="s">
        <v>50</v>
      </c>
      <c r="Z7" s="4" t="s">
        <v>41</v>
      </c>
      <c r="AA7" s="4" t="s">
        <v>31</v>
      </c>
    </row>
    <row r="8" spans="1:27">
      <c r="A8" s="2" t="s">
        <v>81</v>
      </c>
      <c r="B8" s="2" t="s">
        <v>102</v>
      </c>
      <c r="C8" s="2" t="s">
        <v>110</v>
      </c>
      <c r="D8" s="2" t="s">
        <v>118</v>
      </c>
      <c r="E8" s="2" t="s">
        <v>126</v>
      </c>
      <c r="F8" s="2" t="s">
        <v>133</v>
      </c>
      <c r="G8" s="12">
        <v>88</v>
      </c>
      <c r="H8" s="12" t="s">
        <v>72</v>
      </c>
      <c r="I8" s="9" t="s">
        <v>66</v>
      </c>
      <c r="J8" s="4" t="s">
        <v>59</v>
      </c>
      <c r="K8" s="4" t="s">
        <v>51</v>
      </c>
      <c r="L8" s="4" t="s">
        <v>42</v>
      </c>
      <c r="M8" s="4" t="s">
        <v>32</v>
      </c>
      <c r="O8" s="2" t="s">
        <v>81</v>
      </c>
      <c r="P8" s="2" t="s">
        <v>102</v>
      </c>
      <c r="Q8" s="2" t="s">
        <v>110</v>
      </c>
      <c r="R8" s="2" t="s">
        <v>118</v>
      </c>
      <c r="S8" s="2" t="s">
        <v>126</v>
      </c>
      <c r="T8" s="2" t="s">
        <v>133</v>
      </c>
      <c r="U8" s="9">
        <v>88</v>
      </c>
      <c r="V8" s="12" t="s">
        <v>72</v>
      </c>
      <c r="W8" s="4" t="s">
        <v>66</v>
      </c>
      <c r="X8" s="4" t="s">
        <v>59</v>
      </c>
      <c r="Y8" s="4" t="s">
        <v>51</v>
      </c>
      <c r="Z8" s="4" t="s">
        <v>42</v>
      </c>
      <c r="AA8" s="4" t="s">
        <v>32</v>
      </c>
    </row>
    <row r="9" spans="1:27">
      <c r="A9" s="2" t="s">
        <v>82</v>
      </c>
      <c r="B9" s="2" t="s">
        <v>103</v>
      </c>
      <c r="C9" s="2" t="s">
        <v>111</v>
      </c>
      <c r="D9" s="2" t="s">
        <v>119</v>
      </c>
      <c r="E9" s="2" t="s">
        <v>127</v>
      </c>
      <c r="F9" s="2" t="s">
        <v>134</v>
      </c>
      <c r="G9" s="2" t="s">
        <v>140</v>
      </c>
      <c r="H9" s="12">
        <v>77</v>
      </c>
      <c r="I9" s="12" t="s">
        <v>67</v>
      </c>
      <c r="J9" s="9" t="s">
        <v>60</v>
      </c>
      <c r="K9" s="4" t="s">
        <v>52</v>
      </c>
      <c r="L9" s="4" t="s">
        <v>43</v>
      </c>
      <c r="M9" s="4" t="s">
        <v>33</v>
      </c>
      <c r="O9" s="2" t="s">
        <v>82</v>
      </c>
      <c r="P9" s="2" t="s">
        <v>103</v>
      </c>
      <c r="Q9" s="2" t="s">
        <v>111</v>
      </c>
      <c r="R9" s="2" t="s">
        <v>119</v>
      </c>
      <c r="S9" s="2" t="s">
        <v>127</v>
      </c>
      <c r="T9" s="2" t="s">
        <v>134</v>
      </c>
      <c r="U9" s="2" t="s">
        <v>140</v>
      </c>
      <c r="V9" s="12">
        <v>77</v>
      </c>
      <c r="W9" s="4" t="s">
        <v>67</v>
      </c>
      <c r="X9" s="4" t="s">
        <v>60</v>
      </c>
      <c r="Y9" s="4" t="s">
        <v>52</v>
      </c>
      <c r="Z9" s="4" t="s">
        <v>43</v>
      </c>
      <c r="AA9" s="4" t="s">
        <v>33</v>
      </c>
    </row>
    <row r="10" spans="1:27">
      <c r="A10" s="2" t="s">
        <v>83</v>
      </c>
      <c r="B10" s="2" t="s">
        <v>108</v>
      </c>
      <c r="C10" s="2" t="s">
        <v>112</v>
      </c>
      <c r="D10" s="2" t="s">
        <v>120</v>
      </c>
      <c r="E10" s="2" t="s">
        <v>128</v>
      </c>
      <c r="F10" s="2" t="s">
        <v>135</v>
      </c>
      <c r="G10" s="2" t="s">
        <v>141</v>
      </c>
      <c r="H10" s="2" t="s">
        <v>146</v>
      </c>
      <c r="I10" s="12">
        <v>66</v>
      </c>
      <c r="J10" s="12" t="s">
        <v>61</v>
      </c>
      <c r="K10" s="4" t="s">
        <v>53</v>
      </c>
      <c r="L10" s="4" t="s">
        <v>44</v>
      </c>
      <c r="M10" s="4" t="s">
        <v>34</v>
      </c>
      <c r="O10" s="2" t="s">
        <v>83</v>
      </c>
      <c r="P10" s="2" t="s">
        <v>108</v>
      </c>
      <c r="Q10" s="2" t="s">
        <v>112</v>
      </c>
      <c r="R10" s="2" t="s">
        <v>120</v>
      </c>
      <c r="S10" s="2" t="s">
        <v>128</v>
      </c>
      <c r="T10" s="2" t="s">
        <v>135</v>
      </c>
      <c r="U10" s="2" t="s">
        <v>141</v>
      </c>
      <c r="V10" s="2" t="s">
        <v>146</v>
      </c>
      <c r="W10" s="12">
        <v>66</v>
      </c>
      <c r="X10" s="4" t="s">
        <v>61</v>
      </c>
      <c r="Y10" s="4" t="s">
        <v>53</v>
      </c>
      <c r="Z10" s="4" t="s">
        <v>44</v>
      </c>
      <c r="AA10" s="4" t="s">
        <v>34</v>
      </c>
    </row>
    <row r="11" spans="1:27">
      <c r="A11" s="2" t="s">
        <v>84</v>
      </c>
      <c r="B11" s="2" t="s">
        <v>104</v>
      </c>
      <c r="C11" s="2" t="s">
        <v>113</v>
      </c>
      <c r="D11" s="2" t="s">
        <v>121</v>
      </c>
      <c r="E11" s="2" t="s">
        <v>129</v>
      </c>
      <c r="F11" s="2" t="s">
        <v>136</v>
      </c>
      <c r="G11" s="2" t="s">
        <v>142</v>
      </c>
      <c r="H11" s="2" t="s">
        <v>147</v>
      </c>
      <c r="I11" s="2" t="s">
        <v>151</v>
      </c>
      <c r="J11" s="12">
        <v>55</v>
      </c>
      <c r="K11" s="4" t="s">
        <v>54</v>
      </c>
      <c r="L11" s="4" t="s">
        <v>45</v>
      </c>
      <c r="M11" s="4" t="s">
        <v>35</v>
      </c>
      <c r="O11" s="2" t="s">
        <v>84</v>
      </c>
      <c r="P11" s="2" t="s">
        <v>104</v>
      </c>
      <c r="Q11" s="2" t="s">
        <v>113</v>
      </c>
      <c r="R11" s="2" t="s">
        <v>121</v>
      </c>
      <c r="S11" s="2" t="s">
        <v>129</v>
      </c>
      <c r="T11" s="2" t="s">
        <v>136</v>
      </c>
      <c r="U11" s="2" t="s">
        <v>142</v>
      </c>
      <c r="V11" s="2" t="s">
        <v>147</v>
      </c>
      <c r="W11" s="2" t="s">
        <v>151</v>
      </c>
      <c r="X11" s="12">
        <v>55</v>
      </c>
      <c r="Y11" s="4" t="s">
        <v>54</v>
      </c>
      <c r="Z11" s="4" t="s">
        <v>45</v>
      </c>
      <c r="AA11" s="4" t="s">
        <v>35</v>
      </c>
    </row>
    <row r="12" spans="1:27">
      <c r="A12" s="2" t="s">
        <v>85</v>
      </c>
      <c r="B12" s="2" t="s">
        <v>105</v>
      </c>
      <c r="C12" s="2" t="s">
        <v>114</v>
      </c>
      <c r="D12" s="2" t="s">
        <v>122</v>
      </c>
      <c r="E12" s="2" t="s">
        <v>130</v>
      </c>
      <c r="F12" s="2" t="s">
        <v>137</v>
      </c>
      <c r="G12" s="2" t="s">
        <v>143</v>
      </c>
      <c r="H12" s="2" t="s">
        <v>148</v>
      </c>
      <c r="I12" s="2" t="s">
        <v>152</v>
      </c>
      <c r="J12" s="2" t="s">
        <v>155</v>
      </c>
      <c r="K12" s="8">
        <v>44</v>
      </c>
      <c r="L12" s="4" t="s">
        <v>46</v>
      </c>
      <c r="M12" s="4" t="s">
        <v>36</v>
      </c>
      <c r="O12" s="2" t="s">
        <v>85</v>
      </c>
      <c r="P12" s="2" t="s">
        <v>105</v>
      </c>
      <c r="Q12" s="2" t="s">
        <v>114</v>
      </c>
      <c r="R12" s="2" t="s">
        <v>122</v>
      </c>
      <c r="S12" s="2" t="s">
        <v>130</v>
      </c>
      <c r="T12" s="2" t="s">
        <v>137</v>
      </c>
      <c r="U12" s="2" t="s">
        <v>143</v>
      </c>
      <c r="V12" s="2" t="s">
        <v>148</v>
      </c>
      <c r="W12" s="2" t="s">
        <v>152</v>
      </c>
      <c r="X12" s="2" t="s">
        <v>155</v>
      </c>
      <c r="Y12" s="8">
        <v>44</v>
      </c>
      <c r="Z12" s="4" t="s">
        <v>46</v>
      </c>
      <c r="AA12" s="4" t="s">
        <v>36</v>
      </c>
    </row>
    <row r="13" spans="1:27">
      <c r="A13" s="2" t="s">
        <v>86</v>
      </c>
      <c r="B13" s="2" t="s">
        <v>106</v>
      </c>
      <c r="C13" s="2" t="s">
        <v>115</v>
      </c>
      <c r="D13" s="2" t="s">
        <v>123</v>
      </c>
      <c r="E13" s="2" t="s">
        <v>131</v>
      </c>
      <c r="F13" s="2" t="s">
        <v>138</v>
      </c>
      <c r="G13" s="2" t="s">
        <v>144</v>
      </c>
      <c r="H13" s="2" t="s">
        <v>149</v>
      </c>
      <c r="I13" s="2" t="s">
        <v>153</v>
      </c>
      <c r="J13" s="2" t="s">
        <v>156</v>
      </c>
      <c r="K13" s="2" t="s">
        <v>158</v>
      </c>
      <c r="L13" s="8">
        <v>33</v>
      </c>
      <c r="M13" s="4" t="s">
        <v>37</v>
      </c>
      <c r="O13" s="2" t="s">
        <v>86</v>
      </c>
      <c r="P13" s="2" t="s">
        <v>106</v>
      </c>
      <c r="Q13" s="2" t="s">
        <v>115</v>
      </c>
      <c r="R13" s="2" t="s">
        <v>123</v>
      </c>
      <c r="S13" s="2" t="s">
        <v>131</v>
      </c>
      <c r="T13" s="2" t="s">
        <v>138</v>
      </c>
      <c r="U13" s="2" t="s">
        <v>144</v>
      </c>
      <c r="V13" s="2" t="s">
        <v>149</v>
      </c>
      <c r="W13" s="2" t="s">
        <v>153</v>
      </c>
      <c r="X13" s="2" t="s">
        <v>156</v>
      </c>
      <c r="Y13" s="2" t="s">
        <v>158</v>
      </c>
      <c r="Z13" s="8">
        <v>33</v>
      </c>
      <c r="AA13" s="4" t="s">
        <v>37</v>
      </c>
    </row>
    <row r="14" spans="1:27">
      <c r="A14" s="2" t="s">
        <v>87</v>
      </c>
      <c r="B14" s="2" t="s">
        <v>107</v>
      </c>
      <c r="C14" s="2" t="s">
        <v>116</v>
      </c>
      <c r="D14" s="2" t="s">
        <v>124</v>
      </c>
      <c r="E14" s="2" t="s">
        <v>132</v>
      </c>
      <c r="F14" s="2" t="s">
        <v>139</v>
      </c>
      <c r="G14" s="2" t="s">
        <v>145</v>
      </c>
      <c r="H14" s="2" t="s">
        <v>150</v>
      </c>
      <c r="I14" s="2" t="s">
        <v>154</v>
      </c>
      <c r="J14" s="2" t="s">
        <v>157</v>
      </c>
      <c r="K14" s="2" t="s">
        <v>160</v>
      </c>
      <c r="L14" s="2" t="s">
        <v>159</v>
      </c>
      <c r="M14" s="8">
        <v>22</v>
      </c>
      <c r="O14" s="2" t="s">
        <v>87</v>
      </c>
      <c r="P14" s="2" t="s">
        <v>107</v>
      </c>
      <c r="Q14" s="2" t="s">
        <v>116</v>
      </c>
      <c r="R14" s="2" t="s">
        <v>124</v>
      </c>
      <c r="S14" s="2" t="s">
        <v>132</v>
      </c>
      <c r="T14" s="2" t="s">
        <v>139</v>
      </c>
      <c r="U14" s="2" t="s">
        <v>145</v>
      </c>
      <c r="V14" s="2" t="s">
        <v>150</v>
      </c>
      <c r="W14" s="2" t="s">
        <v>154</v>
      </c>
      <c r="X14" s="2" t="s">
        <v>157</v>
      </c>
      <c r="Y14" s="2" t="s">
        <v>160</v>
      </c>
      <c r="Z14" s="2" t="s">
        <v>159</v>
      </c>
      <c r="AA14" s="8">
        <v>22</v>
      </c>
    </row>
    <row r="15" spans="1:27">
      <c r="A15" s="10"/>
      <c r="B15" s="671" t="s">
        <v>164</v>
      </c>
      <c r="C15" s="671"/>
      <c r="D15" s="671"/>
      <c r="E15" s="671"/>
      <c r="F15" s="671"/>
      <c r="G15" s="671"/>
      <c r="H15" s="671"/>
      <c r="I15" s="671"/>
      <c r="J15" s="671"/>
      <c r="K15" s="671"/>
      <c r="L15" s="671"/>
      <c r="M15" s="671"/>
      <c r="O15" s="10"/>
      <c r="P15" s="671" t="s">
        <v>164</v>
      </c>
      <c r="Q15" s="671"/>
      <c r="R15" s="671"/>
      <c r="S15" s="671"/>
      <c r="T15" s="671"/>
      <c r="U15" s="671"/>
      <c r="V15" s="671"/>
      <c r="W15" s="671"/>
      <c r="X15" s="671"/>
      <c r="Y15" s="671"/>
      <c r="Z15" s="671"/>
      <c r="AA15" s="671"/>
    </row>
    <row r="16" spans="1:27">
      <c r="A16" s="14"/>
      <c r="B16" s="672" t="s">
        <v>162</v>
      </c>
      <c r="C16" s="672"/>
      <c r="D16" s="672"/>
      <c r="E16" s="672"/>
      <c r="F16" s="672"/>
      <c r="G16" s="672"/>
      <c r="H16" s="672"/>
      <c r="I16" s="672"/>
      <c r="J16" s="672"/>
      <c r="K16" s="672"/>
      <c r="L16" s="672"/>
      <c r="M16" s="672"/>
      <c r="O16" s="14"/>
      <c r="P16" s="672" t="s">
        <v>162</v>
      </c>
      <c r="Q16" s="672"/>
      <c r="R16" s="672"/>
      <c r="S16" s="672"/>
      <c r="T16" s="672"/>
      <c r="U16" s="672"/>
      <c r="V16" s="672"/>
      <c r="W16" s="672"/>
      <c r="X16" s="672"/>
      <c r="Y16" s="672"/>
      <c r="Z16" s="672"/>
      <c r="AA16" s="672"/>
    </row>
    <row r="17" spans="2:27">
      <c r="B17" s="672"/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P17" s="672"/>
      <c r="Q17" s="672"/>
      <c r="R17" s="672"/>
      <c r="S17" s="672"/>
      <c r="T17" s="672"/>
      <c r="U17" s="672"/>
      <c r="V17" s="672"/>
      <c r="W17" s="672"/>
      <c r="X17" s="672"/>
      <c r="Y17" s="672"/>
      <c r="Z17" s="672"/>
      <c r="AA17" s="672"/>
    </row>
  </sheetData>
  <mergeCells count="8">
    <mergeCell ref="B17:M17"/>
    <mergeCell ref="P17:AA17"/>
    <mergeCell ref="A1:M1"/>
    <mergeCell ref="O1:AA1"/>
    <mergeCell ref="B15:M15"/>
    <mergeCell ref="P15:AA15"/>
    <mergeCell ref="B16:M16"/>
    <mergeCell ref="P16:AA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VolBTNCO">
                <anchor moveWithCells="1" sizeWithCells="1">
                  <from>
                    <xdr:col>28</xdr:col>
                    <xdr:colOff>85725</xdr:colOff>
                    <xdr:row>6</xdr:row>
                    <xdr:rowOff>171450</xdr:rowOff>
                  </from>
                  <to>
                    <xdr:col>29</xdr:col>
                    <xdr:colOff>438150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2"/>
  <dimension ref="B1:AD43"/>
  <sheetViews>
    <sheetView showGridLines="0" showRowColHeaders="0" zoomScale="90" zoomScaleNormal="90" workbookViewId="0">
      <selection activeCell="Q12" sqref="Q12:V17"/>
    </sheetView>
  </sheetViews>
  <sheetFormatPr defaultRowHeight="15"/>
  <cols>
    <col min="1" max="1" width="4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4" width="4.7109375" bestFit="1" customWidth="1"/>
    <col min="15" max="16" width="1.140625" customWidth="1"/>
    <col min="17" max="17" width="4.7109375" bestFit="1" customWidth="1"/>
    <col min="18" max="18" width="4.5703125" bestFit="1" customWidth="1"/>
    <col min="19" max="19" width="4" bestFit="1" customWidth="1"/>
    <col min="20" max="29" width="4.28515625" bestFit="1" customWidth="1"/>
    <col min="30" max="30" width="2" customWidth="1"/>
    <col min="31" max="31" width="4.85546875" bestFit="1" customWidth="1"/>
    <col min="32" max="32" width="4" bestFit="1" customWidth="1"/>
    <col min="33" max="43" width="4.28515625" bestFit="1" customWidth="1"/>
  </cols>
  <sheetData>
    <row r="1" spans="2:30" ht="15.75" thickBot="1"/>
    <row r="2" spans="2:30" ht="15.75" thickBot="1">
      <c r="B2" s="652"/>
      <c r="C2" s="653"/>
      <c r="D2" s="653"/>
      <c r="E2" s="653"/>
      <c r="F2" s="653"/>
      <c r="G2" s="654"/>
    </row>
    <row r="3" spans="2:30" ht="15.75" thickBot="1">
      <c r="B3" s="655"/>
      <c r="C3" s="656"/>
      <c r="D3" s="656"/>
      <c r="E3" s="656"/>
      <c r="F3" s="656"/>
      <c r="G3" s="657"/>
      <c r="Q3" s="221"/>
      <c r="R3" s="524" t="s">
        <v>213</v>
      </c>
      <c r="S3" s="525"/>
      <c r="T3" s="525"/>
      <c r="U3" s="222"/>
      <c r="V3" s="222"/>
      <c r="W3" s="222"/>
      <c r="X3" s="222"/>
      <c r="Y3" s="222"/>
      <c r="Z3" s="222"/>
      <c r="AA3" s="222"/>
      <c r="AB3" s="222"/>
      <c r="AC3" s="223"/>
    </row>
    <row r="4" spans="2:30" ht="15.75" thickBot="1">
      <c r="B4" s="212"/>
      <c r="C4" s="212"/>
      <c r="D4" s="212"/>
      <c r="E4" s="212"/>
      <c r="F4" s="212"/>
      <c r="G4" s="212"/>
      <c r="Q4" s="224"/>
      <c r="R4" s="521" t="s">
        <v>285</v>
      </c>
      <c r="S4" s="522"/>
      <c r="T4" s="522"/>
      <c r="U4" s="522"/>
      <c r="V4" s="522"/>
      <c r="W4" s="522"/>
      <c r="X4" s="522"/>
      <c r="Y4" s="522"/>
      <c r="Z4" s="522"/>
      <c r="AA4" s="522"/>
      <c r="AB4" s="522"/>
      <c r="AC4" s="526"/>
    </row>
    <row r="5" spans="2:30">
      <c r="B5" s="209"/>
      <c r="C5" s="738" t="s">
        <v>205</v>
      </c>
      <c r="D5" s="739"/>
      <c r="E5" s="739"/>
      <c r="F5" s="739"/>
      <c r="G5" s="739"/>
      <c r="H5" s="739"/>
      <c r="I5" s="739"/>
      <c r="J5" s="739"/>
      <c r="K5" s="739"/>
      <c r="L5" s="739"/>
      <c r="M5" s="739"/>
      <c r="N5" s="740"/>
      <c r="Q5" s="225"/>
      <c r="R5" s="521" t="s">
        <v>215</v>
      </c>
      <c r="S5" s="522"/>
      <c r="U5" s="522"/>
      <c r="V5" s="522"/>
      <c r="W5" s="522"/>
      <c r="X5" s="522"/>
      <c r="Y5" s="522"/>
      <c r="Z5" s="522"/>
      <c r="AA5" s="522"/>
      <c r="AB5" s="522"/>
      <c r="AC5" s="526"/>
      <c r="AD5" s="3"/>
    </row>
    <row r="6" spans="2:30">
      <c r="B6" s="205"/>
      <c r="C6" s="741" t="s">
        <v>206</v>
      </c>
      <c r="D6" s="742"/>
      <c r="E6" s="742"/>
      <c r="F6" s="742"/>
      <c r="G6" s="742"/>
      <c r="H6" s="742"/>
      <c r="I6" s="742"/>
      <c r="J6" s="742"/>
      <c r="K6" s="742"/>
      <c r="L6" s="742"/>
      <c r="M6" s="742"/>
      <c r="N6" s="743"/>
      <c r="Q6" s="226"/>
      <c r="R6" s="527" t="s">
        <v>216</v>
      </c>
      <c r="S6" s="528"/>
      <c r="T6" s="528"/>
      <c r="U6" s="528"/>
      <c r="V6" s="522"/>
      <c r="W6" s="522"/>
      <c r="X6" s="522"/>
      <c r="Y6" s="522"/>
      <c r="Z6" s="522"/>
      <c r="AA6" s="522"/>
      <c r="AB6" s="522"/>
      <c r="AC6" s="526"/>
      <c r="AD6" s="3"/>
    </row>
    <row r="7" spans="2:30">
      <c r="B7" s="206"/>
      <c r="C7" s="741" t="s">
        <v>207</v>
      </c>
      <c r="D7" s="742"/>
      <c r="E7" s="742"/>
      <c r="F7" s="742"/>
      <c r="G7" s="742"/>
      <c r="H7" s="742"/>
      <c r="I7" s="742"/>
      <c r="J7" s="742"/>
      <c r="K7" s="742"/>
      <c r="L7" s="742"/>
      <c r="M7" s="742"/>
      <c r="N7" s="743"/>
      <c r="Q7" s="227"/>
      <c r="R7" s="198" t="s">
        <v>217</v>
      </c>
      <c r="S7" s="517"/>
      <c r="T7" s="517"/>
      <c r="U7" s="517"/>
      <c r="V7" s="528"/>
      <c r="W7" s="528"/>
      <c r="X7" s="528"/>
      <c r="Y7" s="528"/>
      <c r="Z7" s="528"/>
      <c r="AA7" s="528"/>
      <c r="AB7" s="528"/>
      <c r="AC7" s="529"/>
    </row>
    <row r="8" spans="2:30" ht="15.75" thickBot="1">
      <c r="B8" s="207"/>
      <c r="C8" s="744" t="s">
        <v>208</v>
      </c>
      <c r="D8" s="745"/>
      <c r="E8" s="745"/>
      <c r="F8" s="745"/>
      <c r="G8" s="745"/>
      <c r="H8" s="745"/>
      <c r="I8" s="745"/>
      <c r="J8" s="745"/>
      <c r="K8" s="745"/>
      <c r="L8" s="745"/>
      <c r="M8" s="745"/>
      <c r="N8" s="746"/>
      <c r="Q8" s="228"/>
      <c r="R8" s="523" t="s">
        <v>162</v>
      </c>
      <c r="S8" s="519"/>
      <c r="T8" s="519"/>
      <c r="U8" s="229"/>
      <c r="V8" s="519"/>
      <c r="W8" s="519"/>
      <c r="X8" s="519"/>
      <c r="Y8" s="519"/>
      <c r="Z8" s="519"/>
      <c r="AA8" s="519"/>
      <c r="AB8" s="519"/>
      <c r="AC8" s="520"/>
    </row>
    <row r="9" spans="2:30" ht="15.75" thickBot="1">
      <c r="B9" s="210"/>
      <c r="C9" s="747" t="s">
        <v>209</v>
      </c>
      <c r="D9" s="695"/>
      <c r="E9" s="695"/>
      <c r="F9" s="695"/>
      <c r="G9" s="695"/>
      <c r="H9" s="695"/>
      <c r="I9" s="695"/>
      <c r="J9" s="695"/>
      <c r="K9" s="695"/>
      <c r="L9" s="695"/>
      <c r="M9" s="695"/>
      <c r="N9" s="748"/>
    </row>
    <row r="10" spans="2:30" ht="15.75" thickBot="1"/>
    <row r="11" spans="2:30" ht="23.25">
      <c r="B11" s="735" t="s">
        <v>319</v>
      </c>
      <c r="C11" s="736"/>
      <c r="D11" s="736"/>
      <c r="E11" s="736"/>
      <c r="F11" s="736"/>
      <c r="G11" s="736"/>
      <c r="H11" s="736"/>
      <c r="I11" s="736"/>
      <c r="J11" s="736"/>
      <c r="K11" s="736"/>
      <c r="L11" s="736"/>
      <c r="M11" s="736"/>
      <c r="N11" s="737"/>
      <c r="O11" s="39"/>
      <c r="Q11" s="735" t="s">
        <v>321</v>
      </c>
      <c r="R11" s="736"/>
      <c r="S11" s="736"/>
      <c r="T11" s="736"/>
      <c r="U11" s="736"/>
      <c r="V11" s="736"/>
      <c r="W11" s="736"/>
      <c r="X11" s="736"/>
      <c r="Y11" s="736"/>
      <c r="Z11" s="736"/>
      <c r="AA11" s="736"/>
      <c r="AB11" s="736"/>
      <c r="AC11" s="737"/>
    </row>
    <row r="12" spans="2:30">
      <c r="B12" s="251" t="s">
        <v>0</v>
      </c>
      <c r="C12" s="17" t="s">
        <v>5</v>
      </c>
      <c r="D12" s="17" t="s">
        <v>6</v>
      </c>
      <c r="E12" s="36" t="s">
        <v>7</v>
      </c>
      <c r="F12" s="36" t="s">
        <v>8</v>
      </c>
      <c r="G12" s="40" t="s">
        <v>9</v>
      </c>
      <c r="H12" s="40" t="s">
        <v>10</v>
      </c>
      <c r="I12" s="40" t="s">
        <v>11</v>
      </c>
      <c r="J12" s="40" t="s">
        <v>12</v>
      </c>
      <c r="K12" s="40" t="s">
        <v>13</v>
      </c>
      <c r="L12" s="38" t="s">
        <v>14</v>
      </c>
      <c r="M12" s="38" t="s">
        <v>15</v>
      </c>
      <c r="N12" s="291" t="s">
        <v>16</v>
      </c>
      <c r="O12" s="39"/>
      <c r="Q12" s="307" t="s">
        <v>0</v>
      </c>
      <c r="R12" s="105" t="s">
        <v>5</v>
      </c>
      <c r="S12" s="104" t="s">
        <v>6</v>
      </c>
      <c r="T12" s="104" t="s">
        <v>7</v>
      </c>
      <c r="U12" s="104" t="s">
        <v>8</v>
      </c>
      <c r="V12" s="31" t="s">
        <v>9</v>
      </c>
      <c r="W12" s="31" t="s">
        <v>10</v>
      </c>
      <c r="X12" s="31" t="s">
        <v>11</v>
      </c>
      <c r="Y12" s="31" t="s">
        <v>12</v>
      </c>
      <c r="Z12" s="31" t="s">
        <v>13</v>
      </c>
      <c r="AA12" s="31" t="s">
        <v>14</v>
      </c>
      <c r="AB12" s="31" t="s">
        <v>15</v>
      </c>
      <c r="AC12" s="291" t="s">
        <v>16</v>
      </c>
    </row>
    <row r="13" spans="2:30">
      <c r="B13" s="251" t="s">
        <v>76</v>
      </c>
      <c r="C13" s="17" t="s">
        <v>1</v>
      </c>
      <c r="D13" s="36" t="s">
        <v>95</v>
      </c>
      <c r="E13" s="36" t="s">
        <v>94</v>
      </c>
      <c r="F13" s="40" t="s">
        <v>19</v>
      </c>
      <c r="G13" s="40" t="s">
        <v>20</v>
      </c>
      <c r="H13" s="38" t="s">
        <v>21</v>
      </c>
      <c r="I13" s="31" t="s">
        <v>22</v>
      </c>
      <c r="J13" s="31" t="s">
        <v>23</v>
      </c>
      <c r="K13" s="31" t="s">
        <v>24</v>
      </c>
      <c r="L13" s="31" t="s">
        <v>25</v>
      </c>
      <c r="M13" s="31" t="s">
        <v>26</v>
      </c>
      <c r="N13" s="291" t="s">
        <v>191</v>
      </c>
      <c r="O13" s="39"/>
      <c r="Q13" s="307" t="s">
        <v>76</v>
      </c>
      <c r="R13" s="105" t="s">
        <v>1</v>
      </c>
      <c r="S13" s="104" t="s">
        <v>95</v>
      </c>
      <c r="T13" s="104" t="s">
        <v>94</v>
      </c>
      <c r="U13" s="106" t="s">
        <v>19</v>
      </c>
      <c r="V13" s="31" t="s">
        <v>20</v>
      </c>
      <c r="W13" s="31" t="s">
        <v>21</v>
      </c>
      <c r="X13" s="31" t="s">
        <v>22</v>
      </c>
      <c r="Y13" s="31" t="s">
        <v>23</v>
      </c>
      <c r="Z13" s="31" t="s">
        <v>24</v>
      </c>
      <c r="AA13" s="31" t="s">
        <v>25</v>
      </c>
      <c r="AB13" s="31" t="s">
        <v>26</v>
      </c>
      <c r="AC13" s="291" t="s">
        <v>191</v>
      </c>
    </row>
    <row r="14" spans="2:30">
      <c r="B14" s="292" t="s">
        <v>77</v>
      </c>
      <c r="C14" s="40" t="s">
        <v>17</v>
      </c>
      <c r="D14" s="17" t="s">
        <v>2</v>
      </c>
      <c r="E14" s="40" t="s">
        <v>97</v>
      </c>
      <c r="F14" s="40" t="s">
        <v>92</v>
      </c>
      <c r="G14" s="40" t="s">
        <v>96</v>
      </c>
      <c r="H14" s="31" t="s">
        <v>73</v>
      </c>
      <c r="I14" s="31" t="s">
        <v>68</v>
      </c>
      <c r="J14" s="31" t="s">
        <v>62</v>
      </c>
      <c r="K14" s="31" t="s">
        <v>55</v>
      </c>
      <c r="L14" s="31" t="s">
        <v>47</v>
      </c>
      <c r="M14" s="31" t="s">
        <v>38</v>
      </c>
      <c r="N14" s="291" t="s">
        <v>30</v>
      </c>
      <c r="O14" s="39"/>
      <c r="Q14" s="308" t="s">
        <v>77</v>
      </c>
      <c r="R14" s="31" t="s">
        <v>17</v>
      </c>
      <c r="S14" s="105" t="s">
        <v>2</v>
      </c>
      <c r="T14" s="31" t="s">
        <v>97</v>
      </c>
      <c r="U14" s="31" t="s">
        <v>92</v>
      </c>
      <c r="V14" s="31" t="s">
        <v>96</v>
      </c>
      <c r="W14" s="31" t="s">
        <v>73</v>
      </c>
      <c r="X14" s="31" t="s">
        <v>68</v>
      </c>
      <c r="Y14" s="31" t="s">
        <v>62</v>
      </c>
      <c r="Z14" s="31" t="s">
        <v>55</v>
      </c>
      <c r="AA14" s="31" t="s">
        <v>47</v>
      </c>
      <c r="AB14" s="31" t="s">
        <v>38</v>
      </c>
      <c r="AC14" s="291" t="s">
        <v>30</v>
      </c>
    </row>
    <row r="15" spans="2:30">
      <c r="B15" s="293" t="s">
        <v>78</v>
      </c>
      <c r="C15" s="38" t="s">
        <v>18</v>
      </c>
      <c r="D15" s="31" t="s">
        <v>93</v>
      </c>
      <c r="E15" s="17" t="s">
        <v>3</v>
      </c>
      <c r="F15" s="40" t="s">
        <v>91</v>
      </c>
      <c r="G15" s="38" t="s">
        <v>90</v>
      </c>
      <c r="H15" s="31" t="s">
        <v>74</v>
      </c>
      <c r="I15" s="31" t="s">
        <v>69</v>
      </c>
      <c r="J15" s="31" t="s">
        <v>63</v>
      </c>
      <c r="K15" s="31" t="s">
        <v>56</v>
      </c>
      <c r="L15" s="31" t="s">
        <v>48</v>
      </c>
      <c r="M15" s="31" t="s">
        <v>39</v>
      </c>
      <c r="N15" s="291" t="s">
        <v>28</v>
      </c>
      <c r="O15" s="39"/>
      <c r="Q15" s="294" t="s">
        <v>78</v>
      </c>
      <c r="R15" s="31" t="s">
        <v>18</v>
      </c>
      <c r="S15" s="31" t="s">
        <v>93</v>
      </c>
      <c r="T15" s="105" t="s">
        <v>3</v>
      </c>
      <c r="U15" s="31" t="s">
        <v>91</v>
      </c>
      <c r="V15" s="31" t="s">
        <v>90</v>
      </c>
      <c r="W15" s="31" t="s">
        <v>74</v>
      </c>
      <c r="X15" s="31" t="s">
        <v>69</v>
      </c>
      <c r="Y15" s="31" t="s">
        <v>63</v>
      </c>
      <c r="Z15" s="31" t="s">
        <v>56</v>
      </c>
      <c r="AA15" s="31" t="s">
        <v>48</v>
      </c>
      <c r="AB15" s="31" t="s">
        <v>39</v>
      </c>
      <c r="AC15" s="291" t="s">
        <v>28</v>
      </c>
    </row>
    <row r="16" spans="2:30">
      <c r="B16" s="293" t="s">
        <v>79</v>
      </c>
      <c r="C16" s="31" t="s">
        <v>98</v>
      </c>
      <c r="D16" s="31" t="s">
        <v>99</v>
      </c>
      <c r="E16" s="31" t="s">
        <v>100</v>
      </c>
      <c r="F16" s="17" t="s">
        <v>4</v>
      </c>
      <c r="G16" s="40" t="s">
        <v>89</v>
      </c>
      <c r="H16" s="31" t="s">
        <v>75</v>
      </c>
      <c r="I16" s="31" t="s">
        <v>70</v>
      </c>
      <c r="J16" s="31" t="s">
        <v>64</v>
      </c>
      <c r="K16" s="31" t="s">
        <v>57</v>
      </c>
      <c r="L16" s="31" t="s">
        <v>49</v>
      </c>
      <c r="M16" s="31" t="s">
        <v>40</v>
      </c>
      <c r="N16" s="291" t="s">
        <v>29</v>
      </c>
      <c r="O16" s="39"/>
      <c r="Q16" s="294" t="s">
        <v>79</v>
      </c>
      <c r="R16" s="31" t="s">
        <v>98</v>
      </c>
      <c r="S16" s="31" t="s">
        <v>99</v>
      </c>
      <c r="T16" s="31" t="s">
        <v>100</v>
      </c>
      <c r="U16" s="100" t="s">
        <v>4</v>
      </c>
      <c r="V16" s="31" t="s">
        <v>89</v>
      </c>
      <c r="W16" s="31" t="s">
        <v>75</v>
      </c>
      <c r="X16" s="31" t="s">
        <v>70</v>
      </c>
      <c r="Y16" s="31" t="s">
        <v>64</v>
      </c>
      <c r="Z16" s="31" t="s">
        <v>57</v>
      </c>
      <c r="AA16" s="31" t="s">
        <v>49</v>
      </c>
      <c r="AB16" s="31" t="s">
        <v>40</v>
      </c>
      <c r="AC16" s="291" t="s">
        <v>29</v>
      </c>
    </row>
    <row r="17" spans="2:29">
      <c r="B17" s="294" t="s">
        <v>80</v>
      </c>
      <c r="C17" s="31" t="s">
        <v>101</v>
      </c>
      <c r="D17" s="31" t="s">
        <v>109</v>
      </c>
      <c r="E17" s="31" t="s">
        <v>117</v>
      </c>
      <c r="F17" s="31" t="s">
        <v>125</v>
      </c>
      <c r="G17" s="82">
        <v>99</v>
      </c>
      <c r="H17" s="31" t="s">
        <v>88</v>
      </c>
      <c r="I17" s="31" t="s">
        <v>71</v>
      </c>
      <c r="J17" s="31" t="s">
        <v>65</v>
      </c>
      <c r="K17" s="31" t="s">
        <v>58</v>
      </c>
      <c r="L17" s="31" t="s">
        <v>50</v>
      </c>
      <c r="M17" s="31" t="s">
        <v>41</v>
      </c>
      <c r="N17" s="291" t="s">
        <v>31</v>
      </c>
      <c r="O17" s="39"/>
      <c r="Q17" s="294" t="s">
        <v>80</v>
      </c>
      <c r="R17" s="31" t="s">
        <v>101</v>
      </c>
      <c r="S17" s="31" t="s">
        <v>109</v>
      </c>
      <c r="T17" s="31" t="s">
        <v>117</v>
      </c>
      <c r="U17" s="31" t="s">
        <v>125</v>
      </c>
      <c r="V17" s="104">
        <v>99</v>
      </c>
      <c r="W17" s="31" t="s">
        <v>88</v>
      </c>
      <c r="X17" s="31" t="s">
        <v>71</v>
      </c>
      <c r="Y17" s="31" t="s">
        <v>65</v>
      </c>
      <c r="Z17" s="31" t="s">
        <v>58</v>
      </c>
      <c r="AA17" s="31" t="s">
        <v>50</v>
      </c>
      <c r="AB17" s="31" t="s">
        <v>41</v>
      </c>
      <c r="AC17" s="291" t="s">
        <v>31</v>
      </c>
    </row>
    <row r="18" spans="2:29">
      <c r="B18" s="294" t="s">
        <v>81</v>
      </c>
      <c r="C18" s="31" t="s">
        <v>102</v>
      </c>
      <c r="D18" s="31" t="s">
        <v>110</v>
      </c>
      <c r="E18" s="31" t="s">
        <v>118</v>
      </c>
      <c r="F18" s="31" t="s">
        <v>126</v>
      </c>
      <c r="G18" s="31" t="s">
        <v>133</v>
      </c>
      <c r="H18" s="82">
        <v>88</v>
      </c>
      <c r="I18" s="31" t="s">
        <v>72</v>
      </c>
      <c r="J18" s="31" t="s">
        <v>66</v>
      </c>
      <c r="K18" s="31" t="s">
        <v>59</v>
      </c>
      <c r="L18" s="31" t="s">
        <v>51</v>
      </c>
      <c r="M18" s="31" t="s">
        <v>42</v>
      </c>
      <c r="N18" s="291" t="s">
        <v>32</v>
      </c>
      <c r="O18" s="39"/>
      <c r="Q18" s="294" t="s">
        <v>81</v>
      </c>
      <c r="R18" s="31" t="s">
        <v>102</v>
      </c>
      <c r="S18" s="31" t="s">
        <v>110</v>
      </c>
      <c r="T18" s="31" t="s">
        <v>118</v>
      </c>
      <c r="U18" s="31" t="s">
        <v>126</v>
      </c>
      <c r="V18" s="31" t="s">
        <v>133</v>
      </c>
      <c r="W18" s="31">
        <v>88</v>
      </c>
      <c r="X18" s="31" t="s">
        <v>72</v>
      </c>
      <c r="Y18" s="31" t="s">
        <v>66</v>
      </c>
      <c r="Z18" s="31" t="s">
        <v>59</v>
      </c>
      <c r="AA18" s="31" t="s">
        <v>51</v>
      </c>
      <c r="AB18" s="31" t="s">
        <v>42</v>
      </c>
      <c r="AC18" s="291" t="s">
        <v>32</v>
      </c>
    </row>
    <row r="19" spans="2:29">
      <c r="B19" s="294" t="s">
        <v>82</v>
      </c>
      <c r="C19" s="31" t="s">
        <v>103</v>
      </c>
      <c r="D19" s="31" t="s">
        <v>111</v>
      </c>
      <c r="E19" s="31" t="s">
        <v>119</v>
      </c>
      <c r="F19" s="31" t="s">
        <v>127</v>
      </c>
      <c r="G19" s="31" t="s">
        <v>134</v>
      </c>
      <c r="H19" s="31" t="s">
        <v>140</v>
      </c>
      <c r="I19" s="40">
        <v>77</v>
      </c>
      <c r="J19" s="31" t="s">
        <v>67</v>
      </c>
      <c r="K19" s="31" t="s">
        <v>60</v>
      </c>
      <c r="L19" s="31" t="s">
        <v>52</v>
      </c>
      <c r="M19" s="31" t="s">
        <v>43</v>
      </c>
      <c r="N19" s="291" t="s">
        <v>33</v>
      </c>
      <c r="O19" s="39"/>
      <c r="Q19" s="294" t="s">
        <v>82</v>
      </c>
      <c r="R19" s="31" t="s">
        <v>103</v>
      </c>
      <c r="S19" s="31" t="s">
        <v>111</v>
      </c>
      <c r="T19" s="31" t="s">
        <v>119</v>
      </c>
      <c r="U19" s="31" t="s">
        <v>127</v>
      </c>
      <c r="V19" s="31" t="s">
        <v>134</v>
      </c>
      <c r="W19" s="31" t="s">
        <v>140</v>
      </c>
      <c r="X19" s="31">
        <v>77</v>
      </c>
      <c r="Y19" s="31" t="s">
        <v>67</v>
      </c>
      <c r="Z19" s="31" t="s">
        <v>60</v>
      </c>
      <c r="AA19" s="31" t="s">
        <v>52</v>
      </c>
      <c r="AB19" s="31" t="s">
        <v>43</v>
      </c>
      <c r="AC19" s="291" t="s">
        <v>33</v>
      </c>
    </row>
    <row r="20" spans="2:29">
      <c r="B20" s="294" t="s">
        <v>83</v>
      </c>
      <c r="C20" s="31" t="s">
        <v>108</v>
      </c>
      <c r="D20" s="31" t="s">
        <v>112</v>
      </c>
      <c r="E20" s="31" t="s">
        <v>120</v>
      </c>
      <c r="F20" s="31" t="s">
        <v>128</v>
      </c>
      <c r="G20" s="31" t="s">
        <v>135</v>
      </c>
      <c r="H20" s="31" t="s">
        <v>141</v>
      </c>
      <c r="I20" s="31" t="s">
        <v>146</v>
      </c>
      <c r="J20" s="38">
        <v>66</v>
      </c>
      <c r="K20" s="31" t="s">
        <v>61</v>
      </c>
      <c r="L20" s="31" t="s">
        <v>53</v>
      </c>
      <c r="M20" s="31" t="s">
        <v>44</v>
      </c>
      <c r="N20" s="291" t="s">
        <v>34</v>
      </c>
      <c r="O20" s="39"/>
      <c r="Q20" s="294" t="s">
        <v>83</v>
      </c>
      <c r="R20" s="31" t="s">
        <v>108</v>
      </c>
      <c r="S20" s="31" t="s">
        <v>112</v>
      </c>
      <c r="T20" s="31" t="s">
        <v>120</v>
      </c>
      <c r="U20" s="31" t="s">
        <v>128</v>
      </c>
      <c r="V20" s="31" t="s">
        <v>135</v>
      </c>
      <c r="W20" s="31" t="s">
        <v>141</v>
      </c>
      <c r="X20" s="31" t="s">
        <v>146</v>
      </c>
      <c r="Y20" s="31">
        <v>66</v>
      </c>
      <c r="Z20" s="31" t="s">
        <v>61</v>
      </c>
      <c r="AA20" s="31" t="s">
        <v>53</v>
      </c>
      <c r="AB20" s="31" t="s">
        <v>44</v>
      </c>
      <c r="AC20" s="291" t="s">
        <v>34</v>
      </c>
    </row>
    <row r="21" spans="2:29" ht="15" customHeight="1">
      <c r="B21" s="294" t="s">
        <v>84</v>
      </c>
      <c r="C21" s="31" t="s">
        <v>104</v>
      </c>
      <c r="D21" s="31" t="s">
        <v>113</v>
      </c>
      <c r="E21" s="31" t="s">
        <v>121</v>
      </c>
      <c r="F21" s="31" t="s">
        <v>129</v>
      </c>
      <c r="G21" s="31" t="s">
        <v>136</v>
      </c>
      <c r="H21" s="31" t="s">
        <v>142</v>
      </c>
      <c r="I21" s="31" t="s">
        <v>147</v>
      </c>
      <c r="J21" s="31" t="s">
        <v>151</v>
      </c>
      <c r="K21" s="31">
        <v>55</v>
      </c>
      <c r="L21" s="31" t="s">
        <v>54</v>
      </c>
      <c r="M21" s="31" t="s">
        <v>45</v>
      </c>
      <c r="N21" s="291" t="s">
        <v>35</v>
      </c>
      <c r="O21" s="39"/>
      <c r="Q21" s="294" t="s">
        <v>84</v>
      </c>
      <c r="R21" s="31" t="s">
        <v>104</v>
      </c>
      <c r="S21" s="31" t="s">
        <v>113</v>
      </c>
      <c r="T21" s="31" t="s">
        <v>121</v>
      </c>
      <c r="U21" s="31" t="s">
        <v>129</v>
      </c>
      <c r="V21" s="31" t="s">
        <v>136</v>
      </c>
      <c r="W21" s="31" t="s">
        <v>142</v>
      </c>
      <c r="X21" s="31" t="s">
        <v>147</v>
      </c>
      <c r="Y21" s="31" t="s">
        <v>151</v>
      </c>
      <c r="Z21" s="31">
        <v>55</v>
      </c>
      <c r="AA21" s="31" t="s">
        <v>54</v>
      </c>
      <c r="AB21" s="31" t="s">
        <v>45</v>
      </c>
      <c r="AC21" s="291" t="s">
        <v>35</v>
      </c>
    </row>
    <row r="22" spans="2:29" ht="15" customHeight="1">
      <c r="B22" s="294" t="s">
        <v>85</v>
      </c>
      <c r="C22" s="31" t="s">
        <v>105</v>
      </c>
      <c r="D22" s="31" t="s">
        <v>114</v>
      </c>
      <c r="E22" s="31" t="s">
        <v>122</v>
      </c>
      <c r="F22" s="31" t="s">
        <v>130</v>
      </c>
      <c r="G22" s="31" t="s">
        <v>137</v>
      </c>
      <c r="H22" s="31" t="s">
        <v>143</v>
      </c>
      <c r="I22" s="31" t="s">
        <v>148</v>
      </c>
      <c r="J22" s="31" t="s">
        <v>152</v>
      </c>
      <c r="K22" s="31" t="s">
        <v>155</v>
      </c>
      <c r="L22" s="31">
        <v>44</v>
      </c>
      <c r="M22" s="31" t="s">
        <v>46</v>
      </c>
      <c r="N22" s="291" t="s">
        <v>36</v>
      </c>
      <c r="O22" s="39"/>
      <c r="Q22" s="294" t="s">
        <v>85</v>
      </c>
      <c r="R22" s="31" t="s">
        <v>105</v>
      </c>
      <c r="S22" s="31" t="s">
        <v>114</v>
      </c>
      <c r="T22" s="31" t="s">
        <v>122</v>
      </c>
      <c r="U22" s="31" t="s">
        <v>130</v>
      </c>
      <c r="V22" s="31" t="s">
        <v>137</v>
      </c>
      <c r="W22" s="31" t="s">
        <v>143</v>
      </c>
      <c r="X22" s="31" t="s">
        <v>148</v>
      </c>
      <c r="Y22" s="31" t="s">
        <v>152</v>
      </c>
      <c r="Z22" s="31" t="s">
        <v>155</v>
      </c>
      <c r="AA22" s="31">
        <v>44</v>
      </c>
      <c r="AB22" s="31" t="s">
        <v>46</v>
      </c>
      <c r="AC22" s="291" t="s">
        <v>36</v>
      </c>
    </row>
    <row r="23" spans="2:29" ht="15" customHeight="1">
      <c r="B23" s="294" t="s">
        <v>86</v>
      </c>
      <c r="C23" s="31" t="s">
        <v>106</v>
      </c>
      <c r="D23" s="31" t="s">
        <v>115</v>
      </c>
      <c r="E23" s="31" t="s">
        <v>123</v>
      </c>
      <c r="F23" s="31" t="s">
        <v>131</v>
      </c>
      <c r="G23" s="31" t="s">
        <v>138</v>
      </c>
      <c r="H23" s="31" t="s">
        <v>144</v>
      </c>
      <c r="I23" s="31" t="s">
        <v>149</v>
      </c>
      <c r="J23" s="31" t="s">
        <v>153</v>
      </c>
      <c r="K23" s="31" t="s">
        <v>156</v>
      </c>
      <c r="L23" s="31" t="s">
        <v>158</v>
      </c>
      <c r="M23" s="31">
        <v>33</v>
      </c>
      <c r="N23" s="291" t="s">
        <v>37</v>
      </c>
      <c r="O23" s="39"/>
      <c r="Q23" s="309" t="s">
        <v>86</v>
      </c>
      <c r="R23" s="101" t="s">
        <v>106</v>
      </c>
      <c r="S23" s="101" t="s">
        <v>115</v>
      </c>
      <c r="T23" s="101" t="s">
        <v>123</v>
      </c>
      <c r="U23" s="101" t="s">
        <v>131</v>
      </c>
      <c r="V23" s="101" t="s">
        <v>138</v>
      </c>
      <c r="W23" s="101" t="s">
        <v>144</v>
      </c>
      <c r="X23" s="101" t="s">
        <v>149</v>
      </c>
      <c r="Y23" s="101" t="s">
        <v>153</v>
      </c>
      <c r="Z23" s="101" t="s">
        <v>156</v>
      </c>
      <c r="AA23" s="101" t="s">
        <v>158</v>
      </c>
      <c r="AB23" s="101">
        <v>33</v>
      </c>
      <c r="AC23" s="310" t="s">
        <v>37</v>
      </c>
    </row>
    <row r="24" spans="2:29" ht="15" customHeight="1" thickBot="1">
      <c r="B24" s="295" t="s">
        <v>87</v>
      </c>
      <c r="C24" s="296" t="s">
        <v>107</v>
      </c>
      <c r="D24" s="296" t="s">
        <v>116</v>
      </c>
      <c r="E24" s="296" t="s">
        <v>124</v>
      </c>
      <c r="F24" s="296" t="s">
        <v>132</v>
      </c>
      <c r="G24" s="296" t="s">
        <v>139</v>
      </c>
      <c r="H24" s="296" t="s">
        <v>145</v>
      </c>
      <c r="I24" s="296" t="s">
        <v>150</v>
      </c>
      <c r="J24" s="296" t="s">
        <v>154</v>
      </c>
      <c r="K24" s="296" t="s">
        <v>157</v>
      </c>
      <c r="L24" s="296" t="s">
        <v>160</v>
      </c>
      <c r="M24" s="296" t="s">
        <v>159</v>
      </c>
      <c r="N24" s="297">
        <v>22</v>
      </c>
      <c r="O24" s="39"/>
      <c r="Q24" s="311" t="s">
        <v>87</v>
      </c>
      <c r="R24" s="312" t="s">
        <v>107</v>
      </c>
      <c r="S24" s="312" t="s">
        <v>116</v>
      </c>
      <c r="T24" s="312" t="s">
        <v>124</v>
      </c>
      <c r="U24" s="312" t="s">
        <v>132</v>
      </c>
      <c r="V24" s="312" t="s">
        <v>139</v>
      </c>
      <c r="W24" s="312" t="s">
        <v>145</v>
      </c>
      <c r="X24" s="312" t="s">
        <v>150</v>
      </c>
      <c r="Y24" s="312" t="s">
        <v>154</v>
      </c>
      <c r="Z24" s="312" t="s">
        <v>157</v>
      </c>
      <c r="AA24" s="312" t="s">
        <v>160</v>
      </c>
      <c r="AB24" s="312" t="s">
        <v>159</v>
      </c>
      <c r="AC24" s="313">
        <v>22</v>
      </c>
    </row>
    <row r="25" spans="2:29" ht="15" customHeight="1" thickBot="1">
      <c r="O25" s="39"/>
    </row>
    <row r="26" spans="2:29" ht="22.5" customHeight="1">
      <c r="B26" s="735" t="s">
        <v>320</v>
      </c>
      <c r="C26" s="736"/>
      <c r="D26" s="736"/>
      <c r="E26" s="736"/>
      <c r="F26" s="736"/>
      <c r="G26" s="736"/>
      <c r="H26" s="736"/>
      <c r="I26" s="736"/>
      <c r="J26" s="736"/>
      <c r="K26" s="736"/>
      <c r="L26" s="736"/>
      <c r="M26" s="736"/>
      <c r="N26" s="737"/>
      <c r="O26" s="39"/>
    </row>
    <row r="27" spans="2:29" ht="15" customHeight="1">
      <c r="B27" s="251" t="s">
        <v>0</v>
      </c>
      <c r="C27" s="17" t="s">
        <v>5</v>
      </c>
      <c r="D27" s="17" t="s">
        <v>6</v>
      </c>
      <c r="E27" s="36" t="s">
        <v>7</v>
      </c>
      <c r="F27" s="36" t="s">
        <v>8</v>
      </c>
      <c r="G27" s="40" t="s">
        <v>9</v>
      </c>
      <c r="H27" s="40" t="s">
        <v>10</v>
      </c>
      <c r="I27" s="40" t="s">
        <v>11</v>
      </c>
      <c r="J27" s="40" t="s">
        <v>12</v>
      </c>
      <c r="K27" s="40" t="s">
        <v>13</v>
      </c>
      <c r="L27" s="40" t="s">
        <v>14</v>
      </c>
      <c r="M27" s="38" t="s">
        <v>15</v>
      </c>
      <c r="N27" s="291" t="s">
        <v>16</v>
      </c>
      <c r="O27" s="39"/>
    </row>
    <row r="28" spans="2:29" ht="15" customHeight="1">
      <c r="B28" s="251" t="s">
        <v>76</v>
      </c>
      <c r="C28" s="17" t="s">
        <v>1</v>
      </c>
      <c r="D28" s="36" t="s">
        <v>95</v>
      </c>
      <c r="E28" s="36" t="s">
        <v>94</v>
      </c>
      <c r="F28" s="40" t="s">
        <v>19</v>
      </c>
      <c r="G28" s="40" t="s">
        <v>20</v>
      </c>
      <c r="H28" s="38" t="s">
        <v>21</v>
      </c>
      <c r="I28" s="31" t="s">
        <v>22</v>
      </c>
      <c r="J28" s="31" t="s">
        <v>23</v>
      </c>
      <c r="K28" s="31" t="s">
        <v>24</v>
      </c>
      <c r="L28" s="31" t="s">
        <v>25</v>
      </c>
      <c r="M28" s="31" t="s">
        <v>26</v>
      </c>
      <c r="N28" s="291" t="s">
        <v>191</v>
      </c>
      <c r="O28" s="39"/>
    </row>
    <row r="29" spans="2:29" ht="15" customHeight="1">
      <c r="B29" s="292" t="s">
        <v>77</v>
      </c>
      <c r="C29" s="40" t="s">
        <v>17</v>
      </c>
      <c r="D29" s="17" t="s">
        <v>2</v>
      </c>
      <c r="E29" s="40" t="s">
        <v>97</v>
      </c>
      <c r="F29" s="40" t="s">
        <v>92</v>
      </c>
      <c r="G29" s="40" t="s">
        <v>96</v>
      </c>
      <c r="H29" s="31" t="s">
        <v>73</v>
      </c>
      <c r="I29" s="31" t="s">
        <v>68</v>
      </c>
      <c r="J29" s="31" t="s">
        <v>62</v>
      </c>
      <c r="K29" s="31" t="s">
        <v>55</v>
      </c>
      <c r="L29" s="31" t="s">
        <v>47</v>
      </c>
      <c r="M29" s="31" t="s">
        <v>38</v>
      </c>
      <c r="N29" s="291" t="s">
        <v>30</v>
      </c>
      <c r="O29" s="39"/>
    </row>
    <row r="30" spans="2:29" ht="15" customHeight="1">
      <c r="B30" s="293" t="s">
        <v>78</v>
      </c>
      <c r="C30" s="40" t="s">
        <v>18</v>
      </c>
      <c r="D30" s="31" t="s">
        <v>93</v>
      </c>
      <c r="E30" s="17" t="s">
        <v>3</v>
      </c>
      <c r="F30" s="40" t="s">
        <v>91</v>
      </c>
      <c r="G30" s="38" t="s">
        <v>90</v>
      </c>
      <c r="H30" s="31" t="s">
        <v>74</v>
      </c>
      <c r="I30" s="31" t="s">
        <v>69</v>
      </c>
      <c r="J30" s="31" t="s">
        <v>63</v>
      </c>
      <c r="K30" s="31" t="s">
        <v>56</v>
      </c>
      <c r="L30" s="31" t="s">
        <v>48</v>
      </c>
      <c r="M30" s="31" t="s">
        <v>39</v>
      </c>
      <c r="N30" s="291" t="s">
        <v>28</v>
      </c>
      <c r="O30" s="39"/>
    </row>
    <row r="31" spans="2:29" ht="15" customHeight="1">
      <c r="B31" s="293" t="s">
        <v>79</v>
      </c>
      <c r="C31" s="31" t="s">
        <v>98</v>
      </c>
      <c r="D31" s="31" t="s">
        <v>99</v>
      </c>
      <c r="E31" s="31" t="s">
        <v>100</v>
      </c>
      <c r="F31" s="17" t="s">
        <v>4</v>
      </c>
      <c r="G31" s="40" t="s">
        <v>89</v>
      </c>
      <c r="H31" s="31" t="s">
        <v>75</v>
      </c>
      <c r="I31" s="31" t="s">
        <v>70</v>
      </c>
      <c r="J31" s="31" t="s">
        <v>64</v>
      </c>
      <c r="K31" s="31" t="s">
        <v>57</v>
      </c>
      <c r="L31" s="31" t="s">
        <v>49</v>
      </c>
      <c r="M31" s="31" t="s">
        <v>40</v>
      </c>
      <c r="N31" s="291" t="s">
        <v>29</v>
      </c>
      <c r="O31" s="39"/>
    </row>
    <row r="32" spans="2:29">
      <c r="B32" s="294" t="s">
        <v>80</v>
      </c>
      <c r="C32" s="31" t="s">
        <v>101</v>
      </c>
      <c r="D32" s="31" t="s">
        <v>109</v>
      </c>
      <c r="E32" s="31" t="s">
        <v>117</v>
      </c>
      <c r="F32" s="31" t="s">
        <v>125</v>
      </c>
      <c r="G32" s="82">
        <v>99</v>
      </c>
      <c r="H32" s="31" t="s">
        <v>88</v>
      </c>
      <c r="I32" s="31" t="s">
        <v>71</v>
      </c>
      <c r="J32" s="31" t="s">
        <v>65</v>
      </c>
      <c r="K32" s="31" t="s">
        <v>58</v>
      </c>
      <c r="L32" s="31" t="s">
        <v>50</v>
      </c>
      <c r="M32" s="31" t="s">
        <v>41</v>
      </c>
      <c r="N32" s="291" t="s">
        <v>31</v>
      </c>
      <c r="O32" s="39"/>
    </row>
    <row r="33" spans="2:15">
      <c r="B33" s="294" t="s">
        <v>81</v>
      </c>
      <c r="C33" s="31" t="s">
        <v>102</v>
      </c>
      <c r="D33" s="31" t="s">
        <v>110</v>
      </c>
      <c r="E33" s="31" t="s">
        <v>118</v>
      </c>
      <c r="F33" s="31" t="s">
        <v>126</v>
      </c>
      <c r="G33" s="31" t="s">
        <v>133</v>
      </c>
      <c r="H33" s="82">
        <v>88</v>
      </c>
      <c r="I33" s="31" t="s">
        <v>72</v>
      </c>
      <c r="J33" s="31" t="s">
        <v>66</v>
      </c>
      <c r="K33" s="31" t="s">
        <v>59</v>
      </c>
      <c r="L33" s="31" t="s">
        <v>51</v>
      </c>
      <c r="M33" s="31" t="s">
        <v>42</v>
      </c>
      <c r="N33" s="291" t="s">
        <v>32</v>
      </c>
      <c r="O33" s="39"/>
    </row>
    <row r="34" spans="2:15">
      <c r="B34" s="294" t="s">
        <v>82</v>
      </c>
      <c r="C34" s="31" t="s">
        <v>103</v>
      </c>
      <c r="D34" s="31" t="s">
        <v>111</v>
      </c>
      <c r="E34" s="31" t="s">
        <v>119</v>
      </c>
      <c r="F34" s="31" t="s">
        <v>127</v>
      </c>
      <c r="G34" s="31" t="s">
        <v>134</v>
      </c>
      <c r="H34" s="31" t="s">
        <v>140</v>
      </c>
      <c r="I34" s="40">
        <v>77</v>
      </c>
      <c r="J34" s="31" t="s">
        <v>67</v>
      </c>
      <c r="K34" s="31" t="s">
        <v>60</v>
      </c>
      <c r="L34" s="31" t="s">
        <v>52</v>
      </c>
      <c r="M34" s="31" t="s">
        <v>43</v>
      </c>
      <c r="N34" s="291" t="s">
        <v>33</v>
      </c>
    </row>
    <row r="35" spans="2:15">
      <c r="B35" s="294" t="s">
        <v>83</v>
      </c>
      <c r="C35" s="31" t="s">
        <v>108</v>
      </c>
      <c r="D35" s="31" t="s">
        <v>112</v>
      </c>
      <c r="E35" s="31" t="s">
        <v>120</v>
      </c>
      <c r="F35" s="31" t="s">
        <v>128</v>
      </c>
      <c r="G35" s="31" t="s">
        <v>135</v>
      </c>
      <c r="H35" s="31" t="s">
        <v>141</v>
      </c>
      <c r="I35" s="31" t="s">
        <v>146</v>
      </c>
      <c r="J35" s="38">
        <v>66</v>
      </c>
      <c r="K35" s="31" t="s">
        <v>61</v>
      </c>
      <c r="L35" s="31" t="s">
        <v>53</v>
      </c>
      <c r="M35" s="31" t="s">
        <v>44</v>
      </c>
      <c r="N35" s="291" t="s">
        <v>34</v>
      </c>
    </row>
    <row r="36" spans="2:15">
      <c r="B36" s="294" t="s">
        <v>84</v>
      </c>
      <c r="C36" s="31" t="s">
        <v>104</v>
      </c>
      <c r="D36" s="31" t="s">
        <v>113</v>
      </c>
      <c r="E36" s="31" t="s">
        <v>121</v>
      </c>
      <c r="F36" s="31" t="s">
        <v>129</v>
      </c>
      <c r="G36" s="31" t="s">
        <v>136</v>
      </c>
      <c r="H36" s="31" t="s">
        <v>142</v>
      </c>
      <c r="I36" s="31" t="s">
        <v>147</v>
      </c>
      <c r="J36" s="31" t="s">
        <v>151</v>
      </c>
      <c r="K36" s="31">
        <v>55</v>
      </c>
      <c r="L36" s="31" t="s">
        <v>54</v>
      </c>
      <c r="M36" s="31" t="s">
        <v>45</v>
      </c>
      <c r="N36" s="291" t="s">
        <v>35</v>
      </c>
    </row>
    <row r="37" spans="2:15">
      <c r="B37" s="294" t="s">
        <v>85</v>
      </c>
      <c r="C37" s="31" t="s">
        <v>105</v>
      </c>
      <c r="D37" s="31" t="s">
        <v>114</v>
      </c>
      <c r="E37" s="31" t="s">
        <v>122</v>
      </c>
      <c r="F37" s="31" t="s">
        <v>130</v>
      </c>
      <c r="G37" s="31" t="s">
        <v>137</v>
      </c>
      <c r="H37" s="31" t="s">
        <v>143</v>
      </c>
      <c r="I37" s="31" t="s">
        <v>148</v>
      </c>
      <c r="J37" s="31" t="s">
        <v>152</v>
      </c>
      <c r="K37" s="31" t="s">
        <v>155</v>
      </c>
      <c r="L37" s="31">
        <v>44</v>
      </c>
      <c r="M37" s="31" t="s">
        <v>46</v>
      </c>
      <c r="N37" s="291" t="s">
        <v>36</v>
      </c>
    </row>
    <row r="38" spans="2:15">
      <c r="B38" s="294" t="s">
        <v>86</v>
      </c>
      <c r="C38" s="31" t="s">
        <v>106</v>
      </c>
      <c r="D38" s="31" t="s">
        <v>115</v>
      </c>
      <c r="E38" s="31" t="s">
        <v>123</v>
      </c>
      <c r="F38" s="31" t="s">
        <v>131</v>
      </c>
      <c r="G38" s="31" t="s">
        <v>138</v>
      </c>
      <c r="H38" s="31" t="s">
        <v>144</v>
      </c>
      <c r="I38" s="31" t="s">
        <v>149</v>
      </c>
      <c r="J38" s="31" t="s">
        <v>153</v>
      </c>
      <c r="K38" s="31" t="s">
        <v>156</v>
      </c>
      <c r="L38" s="31" t="s">
        <v>158</v>
      </c>
      <c r="M38" s="31">
        <v>33</v>
      </c>
      <c r="N38" s="291" t="s">
        <v>37</v>
      </c>
    </row>
    <row r="39" spans="2:15" ht="15.75" thickBot="1">
      <c r="B39" s="295" t="s">
        <v>87</v>
      </c>
      <c r="C39" s="296" t="s">
        <v>107</v>
      </c>
      <c r="D39" s="296" t="s">
        <v>116</v>
      </c>
      <c r="E39" s="296" t="s">
        <v>124</v>
      </c>
      <c r="F39" s="296" t="s">
        <v>132</v>
      </c>
      <c r="G39" s="296" t="s">
        <v>139</v>
      </c>
      <c r="H39" s="296" t="s">
        <v>145</v>
      </c>
      <c r="I39" s="296" t="s">
        <v>150</v>
      </c>
      <c r="J39" s="296" t="s">
        <v>154</v>
      </c>
      <c r="K39" s="296" t="s">
        <v>157</v>
      </c>
      <c r="L39" s="296" t="s">
        <v>160</v>
      </c>
      <c r="M39" s="296" t="s">
        <v>159</v>
      </c>
      <c r="N39" s="297">
        <v>22</v>
      </c>
    </row>
    <row r="42" spans="2:15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2:15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</sheetData>
  <sheetProtection formatCells="0" formatColumns="0" formatRows="0" insertColumns="0" insertRows="0" insertHyperlinks="0" deleteColumns="0" deleteRows="0" sort="0" autoFilter="0" pivotTables="0"/>
  <mergeCells count="9">
    <mergeCell ref="B2:G3"/>
    <mergeCell ref="B11:N11"/>
    <mergeCell ref="B26:N26"/>
    <mergeCell ref="Q11:AC11"/>
    <mergeCell ref="C5:N5"/>
    <mergeCell ref="C6:N6"/>
    <mergeCell ref="C7:N7"/>
    <mergeCell ref="C8:N8"/>
    <mergeCell ref="C9:N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olEP">
                <anchor moveWithCells="1" sizeWithCells="1">
                  <from>
                    <xdr:col>3</xdr:col>
                    <xdr:colOff>161925</xdr:colOff>
                    <xdr:row>1</xdr:row>
                    <xdr:rowOff>47625</xdr:rowOff>
                  </from>
                  <to>
                    <xdr:col>6</xdr:col>
                    <xdr:colOff>76200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"/>
  <dimension ref="B1:AB56"/>
  <sheetViews>
    <sheetView showGridLines="0" showRowColHeaders="0" zoomScale="70" zoomScaleNormal="70" workbookViewId="0">
      <selection activeCell="R45" sqref="R45:AA56"/>
    </sheetView>
  </sheetViews>
  <sheetFormatPr defaultRowHeight="15"/>
  <cols>
    <col min="1" max="1" width="5.140625" customWidth="1"/>
    <col min="2" max="3" width="6.7109375" bestFit="1" customWidth="1"/>
    <col min="4" max="4" width="6.42578125" bestFit="1" customWidth="1"/>
    <col min="5" max="5" width="6" bestFit="1" customWidth="1"/>
    <col min="6" max="8" width="6.28515625" bestFit="1" customWidth="1"/>
    <col min="9" max="9" width="6" customWidth="1"/>
    <col min="10" max="14" width="6" bestFit="1" customWidth="1"/>
    <col min="15" max="15" width="2.5703125" customWidth="1"/>
    <col min="16" max="16" width="6.7109375" bestFit="1" customWidth="1"/>
    <col min="17" max="17" width="6.42578125" bestFit="1" customWidth="1"/>
    <col min="18" max="18" width="6" bestFit="1" customWidth="1"/>
    <col min="19" max="21" width="6.28515625" bestFit="1" customWidth="1"/>
    <col min="22" max="28" width="6" bestFit="1" customWidth="1"/>
    <col min="29" max="29" width="4.85546875" bestFit="1" customWidth="1"/>
    <col min="30" max="30" width="6.28515625" customWidth="1"/>
    <col min="31" max="31" width="6.28515625" bestFit="1" customWidth="1"/>
    <col min="32" max="32" width="6.42578125" customWidth="1"/>
    <col min="33" max="33" width="5.85546875" bestFit="1" customWidth="1"/>
    <col min="34" max="34" width="6" bestFit="1" customWidth="1"/>
    <col min="35" max="36" width="6.28515625" bestFit="1" customWidth="1"/>
    <col min="37" max="41" width="6" bestFit="1" customWidth="1"/>
    <col min="42" max="42" width="6.28515625" customWidth="1"/>
  </cols>
  <sheetData>
    <row r="1" spans="2:28" ht="15.75" thickBot="1"/>
    <row r="2" spans="2:28">
      <c r="B2" s="652"/>
      <c r="C2" s="653"/>
      <c r="D2" s="653"/>
      <c r="E2" s="653"/>
      <c r="F2" s="653"/>
      <c r="G2" s="654"/>
    </row>
    <row r="3" spans="2:28" ht="15.75" thickBot="1">
      <c r="B3" s="655"/>
      <c r="C3" s="656"/>
      <c r="D3" s="656"/>
      <c r="E3" s="656"/>
      <c r="F3" s="656"/>
      <c r="G3" s="657"/>
    </row>
    <row r="4" spans="2:28" ht="15.75" thickBot="1">
      <c r="B4" s="58"/>
      <c r="C4" s="58"/>
      <c r="D4" s="58"/>
      <c r="E4" s="58"/>
      <c r="F4" s="58"/>
      <c r="G4" s="58"/>
    </row>
    <row r="5" spans="2:28" ht="15.75" thickBot="1">
      <c r="B5" s="209"/>
      <c r="C5" s="749" t="s">
        <v>205</v>
      </c>
      <c r="D5" s="750"/>
      <c r="E5" s="750"/>
      <c r="F5" s="750"/>
      <c r="G5" s="750"/>
      <c r="H5" s="750"/>
      <c r="I5" s="750"/>
      <c r="J5" s="750"/>
      <c r="K5" s="750"/>
      <c r="L5" s="750"/>
      <c r="M5" s="750"/>
      <c r="N5" s="751"/>
    </row>
    <row r="6" spans="2:28">
      <c r="B6" s="205"/>
      <c r="C6" s="752" t="s">
        <v>206</v>
      </c>
      <c r="D6" s="753"/>
      <c r="E6" s="753"/>
      <c r="F6" s="753"/>
      <c r="G6" s="753"/>
      <c r="H6" s="753"/>
      <c r="I6" s="753"/>
      <c r="J6" s="753"/>
      <c r="K6" s="753"/>
      <c r="L6" s="753"/>
      <c r="M6" s="753"/>
      <c r="N6" s="754"/>
      <c r="P6" s="221"/>
      <c r="Q6" s="524" t="s">
        <v>213</v>
      </c>
      <c r="R6" s="525"/>
      <c r="S6" s="525"/>
      <c r="T6" s="222"/>
      <c r="U6" s="222"/>
      <c r="V6" s="222"/>
      <c r="W6" s="222"/>
      <c r="X6" s="222"/>
      <c r="Y6" s="222"/>
      <c r="Z6" s="222"/>
      <c r="AA6" s="222"/>
      <c r="AB6" s="223"/>
    </row>
    <row r="7" spans="2:28">
      <c r="B7" s="206"/>
      <c r="C7" s="752" t="s">
        <v>207</v>
      </c>
      <c r="D7" s="753"/>
      <c r="E7" s="753"/>
      <c r="F7" s="753"/>
      <c r="G7" s="753"/>
      <c r="H7" s="753"/>
      <c r="I7" s="753"/>
      <c r="J7" s="753"/>
      <c r="K7" s="753"/>
      <c r="L7" s="753"/>
      <c r="M7" s="753"/>
      <c r="N7" s="754"/>
      <c r="P7" s="224"/>
      <c r="Q7" s="521" t="s">
        <v>285</v>
      </c>
      <c r="R7" s="522"/>
      <c r="S7" s="522"/>
      <c r="T7" s="522"/>
      <c r="U7" s="522"/>
      <c r="V7" s="522"/>
      <c r="W7" s="522"/>
      <c r="X7" s="522"/>
      <c r="Y7" s="522"/>
      <c r="Z7" s="522"/>
      <c r="AA7" s="522"/>
      <c r="AB7" s="526"/>
    </row>
    <row r="8" spans="2:28">
      <c r="B8" s="207"/>
      <c r="C8" s="755" t="s">
        <v>208</v>
      </c>
      <c r="D8" s="756"/>
      <c r="E8" s="756"/>
      <c r="F8" s="756"/>
      <c r="G8" s="756"/>
      <c r="H8" s="756"/>
      <c r="I8" s="756"/>
      <c r="J8" s="756"/>
      <c r="K8" s="756"/>
      <c r="L8" s="756"/>
      <c r="M8" s="756"/>
      <c r="N8" s="757"/>
      <c r="P8" s="225"/>
      <c r="Q8" s="521" t="s">
        <v>215</v>
      </c>
      <c r="R8" s="522"/>
      <c r="T8" s="522"/>
      <c r="U8" s="522"/>
      <c r="V8" s="522"/>
      <c r="W8" s="522"/>
      <c r="X8" s="522"/>
      <c r="Y8" s="522"/>
      <c r="Z8" s="522"/>
      <c r="AA8" s="522"/>
      <c r="AB8" s="526"/>
    </row>
    <row r="9" spans="2:28">
      <c r="B9" s="208"/>
      <c r="C9" s="665" t="s">
        <v>209</v>
      </c>
      <c r="D9" s="665"/>
      <c r="E9" s="665"/>
      <c r="F9" s="665"/>
      <c r="G9" s="665"/>
      <c r="H9" s="665"/>
      <c r="I9" s="665"/>
      <c r="J9" s="665"/>
      <c r="K9" s="665"/>
      <c r="L9" s="665"/>
      <c r="M9" s="665"/>
      <c r="N9" s="758"/>
      <c r="P9" s="226"/>
      <c r="Q9" s="527" t="s">
        <v>216</v>
      </c>
      <c r="R9" s="528"/>
      <c r="S9" s="528"/>
      <c r="T9" s="528"/>
      <c r="U9" s="522"/>
      <c r="V9" s="522"/>
      <c r="W9" s="522"/>
      <c r="X9" s="522"/>
      <c r="Y9" s="522"/>
      <c r="Z9" s="522"/>
      <c r="AA9" s="522"/>
      <c r="AB9" s="526"/>
    </row>
    <row r="10" spans="2:28">
      <c r="B10" s="214"/>
      <c r="C10" s="665" t="s">
        <v>210</v>
      </c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758"/>
      <c r="P10" s="227"/>
      <c r="Q10" s="198" t="s">
        <v>217</v>
      </c>
      <c r="R10" s="517"/>
      <c r="S10" s="517"/>
      <c r="T10" s="517"/>
      <c r="U10" s="528"/>
      <c r="V10" s="528"/>
      <c r="W10" s="528"/>
      <c r="X10" s="528"/>
      <c r="Y10" s="528"/>
      <c r="Z10" s="528"/>
      <c r="AA10" s="528"/>
      <c r="AB10" s="529"/>
    </row>
    <row r="11" spans="2:28" ht="15.75" thickBot="1">
      <c r="B11" s="215"/>
      <c r="C11" s="759" t="s">
        <v>287</v>
      </c>
      <c r="D11" s="759"/>
      <c r="E11" s="759"/>
      <c r="F11" s="759"/>
      <c r="G11" s="759"/>
      <c r="H11" s="759"/>
      <c r="I11" s="759"/>
      <c r="J11" s="759"/>
      <c r="K11" s="759"/>
      <c r="L11" s="759"/>
      <c r="M11" s="759"/>
      <c r="N11" s="760"/>
      <c r="P11" s="228"/>
      <c r="Q11" s="523" t="s">
        <v>162</v>
      </c>
      <c r="R11" s="519"/>
      <c r="S11" s="519"/>
      <c r="T11" s="229"/>
      <c r="U11" s="519"/>
      <c r="V11" s="519"/>
      <c r="W11" s="519"/>
      <c r="X11" s="519"/>
      <c r="Y11" s="519"/>
      <c r="Z11" s="519"/>
      <c r="AA11" s="519"/>
      <c r="AB11" s="520"/>
    </row>
    <row r="12" spans="2:28" ht="15.75" thickBot="1"/>
    <row r="13" spans="2:28">
      <c r="B13" s="647" t="s">
        <v>325</v>
      </c>
      <c r="C13" s="648"/>
      <c r="D13" s="648"/>
      <c r="E13" s="648"/>
      <c r="F13" s="648"/>
      <c r="G13" s="648"/>
      <c r="H13" s="648"/>
      <c r="I13" s="648"/>
      <c r="J13" s="648"/>
      <c r="K13" s="648"/>
      <c r="L13" s="648"/>
      <c r="M13" s="648"/>
      <c r="N13" s="650"/>
      <c r="P13" s="647" t="s">
        <v>332</v>
      </c>
      <c r="Q13" s="648"/>
      <c r="R13" s="648"/>
      <c r="S13" s="648"/>
      <c r="T13" s="648"/>
      <c r="U13" s="648"/>
      <c r="V13" s="648"/>
      <c r="W13" s="648"/>
      <c r="X13" s="648"/>
      <c r="Y13" s="648"/>
      <c r="Z13" s="648"/>
      <c r="AA13" s="648"/>
      <c r="AB13" s="650"/>
    </row>
    <row r="14" spans="2:28">
      <c r="B14" s="251" t="s">
        <v>0</v>
      </c>
      <c r="C14" s="17" t="s">
        <v>5</v>
      </c>
      <c r="D14" s="17" t="s">
        <v>6</v>
      </c>
      <c r="E14" s="178" t="s">
        <v>7</v>
      </c>
      <c r="F14" s="36" t="s">
        <v>8</v>
      </c>
      <c r="G14" s="36" t="s">
        <v>9</v>
      </c>
      <c r="H14" s="37" t="s">
        <v>10</v>
      </c>
      <c r="I14" s="37" t="s">
        <v>11</v>
      </c>
      <c r="J14" s="37" t="s">
        <v>12</v>
      </c>
      <c r="K14" s="37" t="s">
        <v>13</v>
      </c>
      <c r="L14" s="37" t="s">
        <v>14</v>
      </c>
      <c r="M14" s="37" t="s">
        <v>15</v>
      </c>
      <c r="N14" s="298" t="s">
        <v>16</v>
      </c>
      <c r="P14" s="307" t="s">
        <v>0</v>
      </c>
      <c r="Q14" s="105" t="s">
        <v>5</v>
      </c>
      <c r="R14" s="104" t="s">
        <v>6</v>
      </c>
      <c r="S14" s="104" t="s">
        <v>7</v>
      </c>
      <c r="T14" s="104" t="s">
        <v>8</v>
      </c>
      <c r="U14" s="31" t="s">
        <v>9</v>
      </c>
      <c r="V14" s="31" t="s">
        <v>10</v>
      </c>
      <c r="W14" s="31" t="s">
        <v>11</v>
      </c>
      <c r="X14" s="31" t="s">
        <v>12</v>
      </c>
      <c r="Y14" s="31" t="s">
        <v>13</v>
      </c>
      <c r="Z14" s="31" t="s">
        <v>14</v>
      </c>
      <c r="AA14" s="31" t="s">
        <v>15</v>
      </c>
      <c r="AB14" s="291" t="s">
        <v>16</v>
      </c>
    </row>
    <row r="15" spans="2:28">
      <c r="B15" s="251" t="s">
        <v>76</v>
      </c>
      <c r="C15" s="17" t="s">
        <v>1</v>
      </c>
      <c r="D15" s="36" t="s">
        <v>95</v>
      </c>
      <c r="E15" s="36" t="s">
        <v>94</v>
      </c>
      <c r="F15" s="36" t="s">
        <v>19</v>
      </c>
      <c r="G15" s="37" t="s">
        <v>20</v>
      </c>
      <c r="H15" s="37" t="s">
        <v>21</v>
      </c>
      <c r="I15" s="38" t="s">
        <v>22</v>
      </c>
      <c r="J15" s="31" t="s">
        <v>23</v>
      </c>
      <c r="K15" s="31" t="s">
        <v>24</v>
      </c>
      <c r="L15" s="31" t="s">
        <v>25</v>
      </c>
      <c r="M15" s="31" t="s">
        <v>26</v>
      </c>
      <c r="N15" s="291" t="s">
        <v>191</v>
      </c>
      <c r="P15" s="307" t="s">
        <v>76</v>
      </c>
      <c r="Q15" s="105" t="s">
        <v>1</v>
      </c>
      <c r="R15" s="104" t="s">
        <v>95</v>
      </c>
      <c r="S15" s="104" t="s">
        <v>94</v>
      </c>
      <c r="T15" s="104" t="s">
        <v>19</v>
      </c>
      <c r="U15" s="31" t="s">
        <v>20</v>
      </c>
      <c r="V15" s="31" t="s">
        <v>21</v>
      </c>
      <c r="W15" s="31" t="s">
        <v>22</v>
      </c>
      <c r="X15" s="31" t="s">
        <v>23</v>
      </c>
      <c r="Y15" s="31" t="s">
        <v>24</v>
      </c>
      <c r="Z15" s="31" t="s">
        <v>25</v>
      </c>
      <c r="AA15" s="31" t="s">
        <v>26</v>
      </c>
      <c r="AB15" s="291" t="s">
        <v>191</v>
      </c>
    </row>
    <row r="16" spans="2:28">
      <c r="B16" s="251" t="s">
        <v>77</v>
      </c>
      <c r="C16" s="37" t="s">
        <v>17</v>
      </c>
      <c r="D16" s="17" t="s">
        <v>2</v>
      </c>
      <c r="E16" s="36" t="s">
        <v>97</v>
      </c>
      <c r="F16" s="36" t="s">
        <v>92</v>
      </c>
      <c r="G16" s="37" t="s">
        <v>96</v>
      </c>
      <c r="H16" s="37" t="s">
        <v>73</v>
      </c>
      <c r="I16" s="31" t="s">
        <v>68</v>
      </c>
      <c r="J16" s="31" t="s">
        <v>62</v>
      </c>
      <c r="K16" s="31" t="s">
        <v>55</v>
      </c>
      <c r="L16" s="31" t="s">
        <v>47</v>
      </c>
      <c r="M16" s="31" t="s">
        <v>38</v>
      </c>
      <c r="N16" s="291" t="s">
        <v>30</v>
      </c>
      <c r="P16" s="308" t="s">
        <v>77</v>
      </c>
      <c r="Q16" s="31" t="s">
        <v>17</v>
      </c>
      <c r="R16" s="105" t="s">
        <v>2</v>
      </c>
      <c r="S16" s="31" t="s">
        <v>97</v>
      </c>
      <c r="T16" s="31" t="s">
        <v>92</v>
      </c>
      <c r="U16" s="31" t="s">
        <v>96</v>
      </c>
      <c r="V16" s="31" t="s">
        <v>73</v>
      </c>
      <c r="W16" s="31" t="s">
        <v>68</v>
      </c>
      <c r="X16" s="31" t="s">
        <v>62</v>
      </c>
      <c r="Y16" s="31" t="s">
        <v>55</v>
      </c>
      <c r="Z16" s="31" t="s">
        <v>47</v>
      </c>
      <c r="AA16" s="31" t="s">
        <v>38</v>
      </c>
      <c r="AB16" s="291" t="s">
        <v>30</v>
      </c>
    </row>
    <row r="17" spans="2:28">
      <c r="B17" s="299" t="s">
        <v>78</v>
      </c>
      <c r="C17" s="37" t="s">
        <v>18</v>
      </c>
      <c r="D17" s="37" t="s">
        <v>93</v>
      </c>
      <c r="E17" s="17" t="s">
        <v>3</v>
      </c>
      <c r="F17" s="36" t="s">
        <v>91</v>
      </c>
      <c r="G17" s="37" t="s">
        <v>90</v>
      </c>
      <c r="H17" s="38" t="s">
        <v>74</v>
      </c>
      <c r="I17" s="31" t="s">
        <v>69</v>
      </c>
      <c r="J17" s="31" t="s">
        <v>63</v>
      </c>
      <c r="K17" s="31" t="s">
        <v>56</v>
      </c>
      <c r="L17" s="31" t="s">
        <v>48</v>
      </c>
      <c r="M17" s="31" t="s">
        <v>39</v>
      </c>
      <c r="N17" s="291" t="s">
        <v>28</v>
      </c>
      <c r="P17" s="314" t="s">
        <v>78</v>
      </c>
      <c r="Q17" s="31" t="s">
        <v>18</v>
      </c>
      <c r="R17" s="31" t="s">
        <v>93</v>
      </c>
      <c r="S17" s="105" t="s">
        <v>3</v>
      </c>
      <c r="T17" s="31" t="s">
        <v>91</v>
      </c>
      <c r="U17" s="31" t="s">
        <v>90</v>
      </c>
      <c r="V17" s="31" t="s">
        <v>74</v>
      </c>
      <c r="W17" s="31" t="s">
        <v>69</v>
      </c>
      <c r="X17" s="31" t="s">
        <v>63</v>
      </c>
      <c r="Y17" s="31" t="s">
        <v>56</v>
      </c>
      <c r="Z17" s="31" t="s">
        <v>48</v>
      </c>
      <c r="AA17" s="31" t="s">
        <v>39</v>
      </c>
      <c r="AB17" s="291" t="s">
        <v>28</v>
      </c>
    </row>
    <row r="18" spans="2:28">
      <c r="B18" s="299" t="s">
        <v>79</v>
      </c>
      <c r="C18" s="37" t="s">
        <v>98</v>
      </c>
      <c r="D18" s="31" t="s">
        <v>99</v>
      </c>
      <c r="E18" s="31" t="s">
        <v>100</v>
      </c>
      <c r="F18" s="17" t="s">
        <v>4</v>
      </c>
      <c r="G18" s="36" t="s">
        <v>89</v>
      </c>
      <c r="H18" s="37" t="s">
        <v>75</v>
      </c>
      <c r="I18" s="31" t="s">
        <v>70</v>
      </c>
      <c r="J18" s="31" t="s">
        <v>64</v>
      </c>
      <c r="K18" s="31" t="s">
        <v>57</v>
      </c>
      <c r="L18" s="31" t="s">
        <v>49</v>
      </c>
      <c r="M18" s="31" t="s">
        <v>40</v>
      </c>
      <c r="N18" s="291" t="s">
        <v>29</v>
      </c>
      <c r="P18" s="294" t="s">
        <v>79</v>
      </c>
      <c r="Q18" s="31" t="s">
        <v>98</v>
      </c>
      <c r="R18" s="31" t="s">
        <v>99</v>
      </c>
      <c r="S18" s="31" t="s">
        <v>100</v>
      </c>
      <c r="T18" s="100" t="s">
        <v>4</v>
      </c>
      <c r="U18" s="31" t="s">
        <v>89</v>
      </c>
      <c r="V18" s="31" t="s">
        <v>75</v>
      </c>
      <c r="W18" s="31" t="s">
        <v>70</v>
      </c>
      <c r="X18" s="31" t="s">
        <v>64</v>
      </c>
      <c r="Y18" s="31" t="s">
        <v>57</v>
      </c>
      <c r="Z18" s="31" t="s">
        <v>49</v>
      </c>
      <c r="AA18" s="31" t="s">
        <v>40</v>
      </c>
      <c r="AB18" s="291" t="s">
        <v>29</v>
      </c>
    </row>
    <row r="19" spans="2:28">
      <c r="B19" s="300" t="s">
        <v>80</v>
      </c>
      <c r="C19" s="31" t="s">
        <v>101</v>
      </c>
      <c r="D19" s="31" t="s">
        <v>109</v>
      </c>
      <c r="E19" s="31" t="s">
        <v>117</v>
      </c>
      <c r="F19" s="31" t="s">
        <v>125</v>
      </c>
      <c r="G19" s="82">
        <v>99</v>
      </c>
      <c r="H19" s="36" t="s">
        <v>88</v>
      </c>
      <c r="I19" s="31" t="s">
        <v>71</v>
      </c>
      <c r="J19" s="31" t="s">
        <v>65</v>
      </c>
      <c r="K19" s="31" t="s">
        <v>58</v>
      </c>
      <c r="L19" s="31" t="s">
        <v>50</v>
      </c>
      <c r="M19" s="31" t="s">
        <v>41</v>
      </c>
      <c r="N19" s="291" t="s">
        <v>31</v>
      </c>
      <c r="P19" s="294" t="s">
        <v>80</v>
      </c>
      <c r="Q19" s="31" t="s">
        <v>101</v>
      </c>
      <c r="R19" s="31" t="s">
        <v>109</v>
      </c>
      <c r="S19" s="31" t="s">
        <v>117</v>
      </c>
      <c r="T19" s="31" t="s">
        <v>125</v>
      </c>
      <c r="U19" s="104">
        <v>99</v>
      </c>
      <c r="V19" s="31" t="s">
        <v>88</v>
      </c>
      <c r="W19" s="31" t="s">
        <v>71</v>
      </c>
      <c r="X19" s="31" t="s">
        <v>65</v>
      </c>
      <c r="Y19" s="31" t="s">
        <v>58</v>
      </c>
      <c r="Z19" s="31" t="s">
        <v>50</v>
      </c>
      <c r="AA19" s="31" t="s">
        <v>41</v>
      </c>
      <c r="AB19" s="291" t="s">
        <v>31</v>
      </c>
    </row>
    <row r="20" spans="2:28">
      <c r="B20" s="294" t="s">
        <v>81</v>
      </c>
      <c r="C20" s="31" t="s">
        <v>102</v>
      </c>
      <c r="D20" s="31" t="s">
        <v>110</v>
      </c>
      <c r="E20" s="31" t="s">
        <v>118</v>
      </c>
      <c r="F20" s="31" t="s">
        <v>126</v>
      </c>
      <c r="G20" s="31" t="s">
        <v>133</v>
      </c>
      <c r="H20" s="82">
        <v>88</v>
      </c>
      <c r="I20" s="31" t="s">
        <v>72</v>
      </c>
      <c r="J20" s="31" t="s">
        <v>66</v>
      </c>
      <c r="K20" s="31" t="s">
        <v>59</v>
      </c>
      <c r="L20" s="31" t="s">
        <v>51</v>
      </c>
      <c r="M20" s="31" t="s">
        <v>42</v>
      </c>
      <c r="N20" s="291" t="s">
        <v>32</v>
      </c>
      <c r="P20" s="294" t="s">
        <v>81</v>
      </c>
      <c r="Q20" s="31" t="s">
        <v>102</v>
      </c>
      <c r="R20" s="31" t="s">
        <v>110</v>
      </c>
      <c r="S20" s="31" t="s">
        <v>118</v>
      </c>
      <c r="T20" s="31" t="s">
        <v>126</v>
      </c>
      <c r="U20" s="31" t="s">
        <v>133</v>
      </c>
      <c r="V20" s="31">
        <v>88</v>
      </c>
      <c r="W20" s="31" t="s">
        <v>72</v>
      </c>
      <c r="X20" s="31" t="s">
        <v>66</v>
      </c>
      <c r="Y20" s="31" t="s">
        <v>59</v>
      </c>
      <c r="Z20" s="31" t="s">
        <v>51</v>
      </c>
      <c r="AA20" s="31" t="s">
        <v>42</v>
      </c>
      <c r="AB20" s="291" t="s">
        <v>32</v>
      </c>
    </row>
    <row r="21" spans="2:28">
      <c r="B21" s="294" t="s">
        <v>82</v>
      </c>
      <c r="C21" s="31" t="s">
        <v>103</v>
      </c>
      <c r="D21" s="31" t="s">
        <v>111</v>
      </c>
      <c r="E21" s="31" t="s">
        <v>119</v>
      </c>
      <c r="F21" s="31" t="s">
        <v>127</v>
      </c>
      <c r="G21" s="31" t="s">
        <v>134</v>
      </c>
      <c r="H21" s="31" t="s">
        <v>140</v>
      </c>
      <c r="I21" s="36">
        <v>77</v>
      </c>
      <c r="J21" s="31" t="s">
        <v>67</v>
      </c>
      <c r="K21" s="31" t="s">
        <v>60</v>
      </c>
      <c r="L21" s="31" t="s">
        <v>52</v>
      </c>
      <c r="M21" s="31" t="s">
        <v>43</v>
      </c>
      <c r="N21" s="291" t="s">
        <v>33</v>
      </c>
      <c r="P21" s="294" t="s">
        <v>82</v>
      </c>
      <c r="Q21" s="31" t="s">
        <v>103</v>
      </c>
      <c r="R21" s="31" t="s">
        <v>111</v>
      </c>
      <c r="S21" s="31" t="s">
        <v>119</v>
      </c>
      <c r="T21" s="31" t="s">
        <v>127</v>
      </c>
      <c r="U21" s="31" t="s">
        <v>134</v>
      </c>
      <c r="V21" s="31" t="s">
        <v>140</v>
      </c>
      <c r="W21" s="31">
        <v>77</v>
      </c>
      <c r="X21" s="31" t="s">
        <v>67</v>
      </c>
      <c r="Y21" s="31" t="s">
        <v>60</v>
      </c>
      <c r="Z21" s="31" t="s">
        <v>52</v>
      </c>
      <c r="AA21" s="31" t="s">
        <v>43</v>
      </c>
      <c r="AB21" s="291" t="s">
        <v>33</v>
      </c>
    </row>
    <row r="22" spans="2:28">
      <c r="B22" s="294" t="s">
        <v>83</v>
      </c>
      <c r="C22" s="31" t="s">
        <v>108</v>
      </c>
      <c r="D22" s="31" t="s">
        <v>112</v>
      </c>
      <c r="E22" s="31" t="s">
        <v>120</v>
      </c>
      <c r="F22" s="31" t="s">
        <v>128</v>
      </c>
      <c r="G22" s="31" t="s">
        <v>135</v>
      </c>
      <c r="H22" s="31" t="s">
        <v>141</v>
      </c>
      <c r="I22" s="31" t="s">
        <v>146</v>
      </c>
      <c r="J22" s="36">
        <v>66</v>
      </c>
      <c r="K22" s="31" t="s">
        <v>61</v>
      </c>
      <c r="L22" s="31" t="s">
        <v>53</v>
      </c>
      <c r="M22" s="31" t="s">
        <v>44</v>
      </c>
      <c r="N22" s="291" t="s">
        <v>34</v>
      </c>
      <c r="O22" s="39"/>
      <c r="P22" s="294" t="s">
        <v>83</v>
      </c>
      <c r="Q22" s="31" t="s">
        <v>108</v>
      </c>
      <c r="R22" s="31" t="s">
        <v>112</v>
      </c>
      <c r="S22" s="31" t="s">
        <v>120</v>
      </c>
      <c r="T22" s="31" t="s">
        <v>128</v>
      </c>
      <c r="U22" s="31" t="s">
        <v>135</v>
      </c>
      <c r="V22" s="31" t="s">
        <v>141</v>
      </c>
      <c r="W22" s="31" t="s">
        <v>146</v>
      </c>
      <c r="X22" s="31">
        <v>66</v>
      </c>
      <c r="Y22" s="31" t="s">
        <v>61</v>
      </c>
      <c r="Z22" s="31" t="s">
        <v>53</v>
      </c>
      <c r="AA22" s="31" t="s">
        <v>44</v>
      </c>
      <c r="AB22" s="291" t="s">
        <v>34</v>
      </c>
    </row>
    <row r="23" spans="2:28">
      <c r="B23" s="294" t="s">
        <v>84</v>
      </c>
      <c r="C23" s="31" t="s">
        <v>104</v>
      </c>
      <c r="D23" s="31" t="s">
        <v>113</v>
      </c>
      <c r="E23" s="31" t="s">
        <v>121</v>
      </c>
      <c r="F23" s="31" t="s">
        <v>129</v>
      </c>
      <c r="G23" s="31" t="s">
        <v>136</v>
      </c>
      <c r="H23" s="31" t="s">
        <v>142</v>
      </c>
      <c r="I23" s="31" t="s">
        <v>147</v>
      </c>
      <c r="J23" s="31" t="s">
        <v>151</v>
      </c>
      <c r="K23" s="38">
        <v>55</v>
      </c>
      <c r="L23" s="31" t="s">
        <v>54</v>
      </c>
      <c r="M23" s="31" t="s">
        <v>45</v>
      </c>
      <c r="N23" s="291" t="s">
        <v>35</v>
      </c>
      <c r="O23" s="39"/>
      <c r="P23" s="294" t="s">
        <v>84</v>
      </c>
      <c r="Q23" s="31" t="s">
        <v>104</v>
      </c>
      <c r="R23" s="31" t="s">
        <v>113</v>
      </c>
      <c r="S23" s="31" t="s">
        <v>121</v>
      </c>
      <c r="T23" s="31" t="s">
        <v>129</v>
      </c>
      <c r="U23" s="31" t="s">
        <v>136</v>
      </c>
      <c r="V23" s="31" t="s">
        <v>142</v>
      </c>
      <c r="W23" s="31" t="s">
        <v>147</v>
      </c>
      <c r="X23" s="31" t="s">
        <v>151</v>
      </c>
      <c r="Y23" s="31">
        <v>55</v>
      </c>
      <c r="Z23" s="31" t="s">
        <v>54</v>
      </c>
      <c r="AA23" s="31" t="s">
        <v>45</v>
      </c>
      <c r="AB23" s="291" t="s">
        <v>35</v>
      </c>
    </row>
    <row r="24" spans="2:28">
      <c r="B24" s="294" t="s">
        <v>85</v>
      </c>
      <c r="C24" s="31" t="s">
        <v>105</v>
      </c>
      <c r="D24" s="31" t="s">
        <v>114</v>
      </c>
      <c r="E24" s="31" t="s">
        <v>122</v>
      </c>
      <c r="F24" s="31" t="s">
        <v>130</v>
      </c>
      <c r="G24" s="31" t="s">
        <v>137</v>
      </c>
      <c r="H24" s="31" t="s">
        <v>143</v>
      </c>
      <c r="I24" s="31" t="s">
        <v>148</v>
      </c>
      <c r="J24" s="31" t="s">
        <v>152</v>
      </c>
      <c r="K24" s="31" t="s">
        <v>155</v>
      </c>
      <c r="L24" s="31">
        <v>44</v>
      </c>
      <c r="M24" s="31" t="s">
        <v>46</v>
      </c>
      <c r="N24" s="291" t="s">
        <v>36</v>
      </c>
      <c r="O24" s="39"/>
      <c r="P24" s="294" t="s">
        <v>85</v>
      </c>
      <c r="Q24" s="31" t="s">
        <v>105</v>
      </c>
      <c r="R24" s="31" t="s">
        <v>114</v>
      </c>
      <c r="S24" s="31" t="s">
        <v>122</v>
      </c>
      <c r="T24" s="31" t="s">
        <v>130</v>
      </c>
      <c r="U24" s="31" t="s">
        <v>137</v>
      </c>
      <c r="V24" s="31" t="s">
        <v>143</v>
      </c>
      <c r="W24" s="31" t="s">
        <v>148</v>
      </c>
      <c r="X24" s="31" t="s">
        <v>152</v>
      </c>
      <c r="Y24" s="31" t="s">
        <v>155</v>
      </c>
      <c r="Z24" s="31">
        <v>44</v>
      </c>
      <c r="AA24" s="31" t="s">
        <v>46</v>
      </c>
      <c r="AB24" s="291" t="s">
        <v>36</v>
      </c>
    </row>
    <row r="25" spans="2:28">
      <c r="B25" s="294" t="s">
        <v>86</v>
      </c>
      <c r="C25" s="31" t="s">
        <v>106</v>
      </c>
      <c r="D25" s="31" t="s">
        <v>115</v>
      </c>
      <c r="E25" s="31" t="s">
        <v>123</v>
      </c>
      <c r="F25" s="31" t="s">
        <v>131</v>
      </c>
      <c r="G25" s="31" t="s">
        <v>138</v>
      </c>
      <c r="H25" s="31" t="s">
        <v>144</v>
      </c>
      <c r="I25" s="31" t="s">
        <v>149</v>
      </c>
      <c r="J25" s="31" t="s">
        <v>153</v>
      </c>
      <c r="K25" s="31" t="s">
        <v>156</v>
      </c>
      <c r="L25" s="31" t="s">
        <v>158</v>
      </c>
      <c r="M25" s="31">
        <v>33</v>
      </c>
      <c r="N25" s="291" t="s">
        <v>37</v>
      </c>
      <c r="O25" s="39"/>
      <c r="P25" s="294" t="s">
        <v>86</v>
      </c>
      <c r="Q25" s="31" t="s">
        <v>106</v>
      </c>
      <c r="R25" s="31" t="s">
        <v>115</v>
      </c>
      <c r="S25" s="31" t="s">
        <v>123</v>
      </c>
      <c r="T25" s="31" t="s">
        <v>131</v>
      </c>
      <c r="U25" s="31" t="s">
        <v>138</v>
      </c>
      <c r="V25" s="31" t="s">
        <v>144</v>
      </c>
      <c r="W25" s="31" t="s">
        <v>149</v>
      </c>
      <c r="X25" s="31" t="s">
        <v>153</v>
      </c>
      <c r="Y25" s="31" t="s">
        <v>156</v>
      </c>
      <c r="Z25" s="31" t="s">
        <v>158</v>
      </c>
      <c r="AA25" s="31">
        <v>33</v>
      </c>
      <c r="AB25" s="291" t="s">
        <v>37</v>
      </c>
    </row>
    <row r="26" spans="2:28" ht="15.75" thickBot="1">
      <c r="B26" s="295" t="s">
        <v>87</v>
      </c>
      <c r="C26" s="296" t="s">
        <v>107</v>
      </c>
      <c r="D26" s="296" t="s">
        <v>116</v>
      </c>
      <c r="E26" s="296" t="s">
        <v>124</v>
      </c>
      <c r="F26" s="296" t="s">
        <v>132</v>
      </c>
      <c r="G26" s="296" t="s">
        <v>139</v>
      </c>
      <c r="H26" s="296" t="s">
        <v>145</v>
      </c>
      <c r="I26" s="296" t="s">
        <v>150</v>
      </c>
      <c r="J26" s="296" t="s">
        <v>154</v>
      </c>
      <c r="K26" s="296" t="s">
        <v>157</v>
      </c>
      <c r="L26" s="296" t="s">
        <v>160</v>
      </c>
      <c r="M26" s="296" t="s">
        <v>159</v>
      </c>
      <c r="N26" s="297">
        <v>22</v>
      </c>
      <c r="O26" s="39"/>
      <c r="P26" s="295" t="s">
        <v>87</v>
      </c>
      <c r="Q26" s="296" t="s">
        <v>107</v>
      </c>
      <c r="R26" s="296" t="s">
        <v>116</v>
      </c>
      <c r="S26" s="296" t="s">
        <v>124</v>
      </c>
      <c r="T26" s="296" t="s">
        <v>132</v>
      </c>
      <c r="U26" s="296" t="s">
        <v>139</v>
      </c>
      <c r="V26" s="296" t="s">
        <v>145</v>
      </c>
      <c r="W26" s="296" t="s">
        <v>150</v>
      </c>
      <c r="X26" s="296" t="s">
        <v>154</v>
      </c>
      <c r="Y26" s="296" t="s">
        <v>157</v>
      </c>
      <c r="Z26" s="296" t="s">
        <v>160</v>
      </c>
      <c r="AA26" s="296" t="s">
        <v>159</v>
      </c>
      <c r="AB26" s="297">
        <v>22</v>
      </c>
    </row>
    <row r="27" spans="2:28" ht="15.75" thickBot="1">
      <c r="O27" s="39"/>
    </row>
    <row r="28" spans="2:28">
      <c r="B28" s="647" t="s">
        <v>326</v>
      </c>
      <c r="C28" s="648"/>
      <c r="D28" s="648"/>
      <c r="E28" s="648"/>
      <c r="F28" s="648"/>
      <c r="G28" s="648"/>
      <c r="H28" s="648"/>
      <c r="I28" s="648"/>
      <c r="J28" s="648"/>
      <c r="K28" s="648"/>
      <c r="L28" s="648"/>
      <c r="M28" s="648"/>
      <c r="N28" s="650"/>
      <c r="O28" s="39"/>
      <c r="P28" s="647" t="s">
        <v>333</v>
      </c>
      <c r="Q28" s="648"/>
      <c r="R28" s="648"/>
      <c r="S28" s="648"/>
      <c r="T28" s="648"/>
      <c r="U28" s="648"/>
      <c r="V28" s="648"/>
      <c r="W28" s="648"/>
      <c r="X28" s="648"/>
      <c r="Y28" s="648"/>
      <c r="Z28" s="648"/>
      <c r="AA28" s="648"/>
      <c r="AB28" s="650"/>
    </row>
    <row r="29" spans="2:28">
      <c r="B29" s="251" t="s">
        <v>0</v>
      </c>
      <c r="C29" s="17" t="s">
        <v>5</v>
      </c>
      <c r="D29" s="17" t="s">
        <v>6</v>
      </c>
      <c r="E29" s="36" t="s">
        <v>7</v>
      </c>
      <c r="F29" s="36" t="s">
        <v>8</v>
      </c>
      <c r="G29" s="36" t="s">
        <v>9</v>
      </c>
      <c r="H29" s="37" t="s">
        <v>10</v>
      </c>
      <c r="I29" s="37" t="s">
        <v>11</v>
      </c>
      <c r="J29" s="37" t="s">
        <v>12</v>
      </c>
      <c r="K29" s="37" t="s">
        <v>13</v>
      </c>
      <c r="L29" s="37" t="s">
        <v>14</v>
      </c>
      <c r="M29" s="37" t="s">
        <v>15</v>
      </c>
      <c r="N29" s="298" t="s">
        <v>16</v>
      </c>
      <c r="O29" s="39"/>
      <c r="P29" s="307" t="s">
        <v>0</v>
      </c>
      <c r="Q29" s="105" t="s">
        <v>5</v>
      </c>
      <c r="R29" s="104" t="s">
        <v>6</v>
      </c>
      <c r="S29" s="104" t="s">
        <v>7</v>
      </c>
      <c r="T29" s="104" t="s">
        <v>8</v>
      </c>
      <c r="U29" s="31" t="s">
        <v>9</v>
      </c>
      <c r="V29" s="31" t="s">
        <v>10</v>
      </c>
      <c r="W29" s="31" t="s">
        <v>11</v>
      </c>
      <c r="X29" s="31" t="s">
        <v>12</v>
      </c>
      <c r="Y29" s="31" t="s">
        <v>13</v>
      </c>
      <c r="Z29" s="31" t="s">
        <v>14</v>
      </c>
      <c r="AA29" s="31" t="s">
        <v>15</v>
      </c>
      <c r="AB29" s="291" t="s">
        <v>16</v>
      </c>
    </row>
    <row r="30" spans="2:28" ht="15" customHeight="1">
      <c r="B30" s="251" t="s">
        <v>76</v>
      </c>
      <c r="C30" s="17" t="s">
        <v>1</v>
      </c>
      <c r="D30" s="36" t="s">
        <v>95</v>
      </c>
      <c r="E30" s="87" t="s">
        <v>94</v>
      </c>
      <c r="F30" s="36" t="s">
        <v>19</v>
      </c>
      <c r="G30" s="36" t="s">
        <v>20</v>
      </c>
      <c r="H30" s="37" t="s">
        <v>21</v>
      </c>
      <c r="I30" s="37" t="s">
        <v>22</v>
      </c>
      <c r="J30" s="31" t="s">
        <v>23</v>
      </c>
      <c r="K30" s="31" t="s">
        <v>24</v>
      </c>
      <c r="L30" s="31" t="s">
        <v>25</v>
      </c>
      <c r="M30" s="31" t="s">
        <v>26</v>
      </c>
      <c r="N30" s="291" t="s">
        <v>191</v>
      </c>
      <c r="O30" s="39"/>
      <c r="P30" s="307" t="s">
        <v>76</v>
      </c>
      <c r="Q30" s="105" t="s">
        <v>1</v>
      </c>
      <c r="R30" s="104" t="s">
        <v>95</v>
      </c>
      <c r="S30" s="104" t="s">
        <v>94</v>
      </c>
      <c r="T30" s="104" t="s">
        <v>19</v>
      </c>
      <c r="U30" s="31" t="s">
        <v>20</v>
      </c>
      <c r="V30" s="31" t="s">
        <v>21</v>
      </c>
      <c r="W30" s="31" t="s">
        <v>22</v>
      </c>
      <c r="X30" s="31" t="s">
        <v>23</v>
      </c>
      <c r="Y30" s="31" t="s">
        <v>24</v>
      </c>
      <c r="Z30" s="31" t="s">
        <v>25</v>
      </c>
      <c r="AA30" s="31" t="s">
        <v>26</v>
      </c>
      <c r="AB30" s="291" t="s">
        <v>191</v>
      </c>
    </row>
    <row r="31" spans="2:28" ht="15" customHeight="1">
      <c r="B31" s="251" t="s">
        <v>77</v>
      </c>
      <c r="C31" s="37" t="s">
        <v>17</v>
      </c>
      <c r="D31" s="17" t="s">
        <v>2</v>
      </c>
      <c r="E31" s="36" t="s">
        <v>97</v>
      </c>
      <c r="F31" s="36" t="s">
        <v>92</v>
      </c>
      <c r="G31" s="36" t="s">
        <v>96</v>
      </c>
      <c r="H31" s="37" t="s">
        <v>73</v>
      </c>
      <c r="I31" s="31" t="s">
        <v>68</v>
      </c>
      <c r="J31" s="31" t="s">
        <v>62</v>
      </c>
      <c r="K31" s="31" t="s">
        <v>55</v>
      </c>
      <c r="L31" s="31" t="s">
        <v>47</v>
      </c>
      <c r="M31" s="31" t="s">
        <v>38</v>
      </c>
      <c r="N31" s="291" t="s">
        <v>30</v>
      </c>
      <c r="O31" s="39"/>
      <c r="P31" s="308" t="s">
        <v>77</v>
      </c>
      <c r="Q31" s="31" t="s">
        <v>17</v>
      </c>
      <c r="R31" s="105" t="s">
        <v>2</v>
      </c>
      <c r="S31" s="31" t="s">
        <v>97</v>
      </c>
      <c r="T31" s="31" t="s">
        <v>92</v>
      </c>
      <c r="U31" s="31" t="s">
        <v>96</v>
      </c>
      <c r="V31" s="31" t="s">
        <v>73</v>
      </c>
      <c r="W31" s="31" t="s">
        <v>68</v>
      </c>
      <c r="X31" s="31" t="s">
        <v>62</v>
      </c>
      <c r="Y31" s="31" t="s">
        <v>55</v>
      </c>
      <c r="Z31" s="31" t="s">
        <v>47</v>
      </c>
      <c r="AA31" s="31" t="s">
        <v>38</v>
      </c>
      <c r="AB31" s="291" t="s">
        <v>30</v>
      </c>
    </row>
    <row r="32" spans="2:28" ht="15" customHeight="1">
      <c r="B32" s="292" t="s">
        <v>78</v>
      </c>
      <c r="C32" s="37" t="s">
        <v>18</v>
      </c>
      <c r="D32" s="37" t="s">
        <v>93</v>
      </c>
      <c r="E32" s="17" t="s">
        <v>3</v>
      </c>
      <c r="F32" s="36" t="s">
        <v>91</v>
      </c>
      <c r="G32" s="36" t="s">
        <v>90</v>
      </c>
      <c r="H32" s="38" t="s">
        <v>74</v>
      </c>
      <c r="I32" s="31" t="s">
        <v>69</v>
      </c>
      <c r="J32" s="31" t="s">
        <v>63</v>
      </c>
      <c r="K32" s="31" t="s">
        <v>56</v>
      </c>
      <c r="L32" s="31" t="s">
        <v>48</v>
      </c>
      <c r="M32" s="31" t="s">
        <v>39</v>
      </c>
      <c r="N32" s="291" t="s">
        <v>28</v>
      </c>
      <c r="O32" s="39"/>
      <c r="P32" s="314" t="s">
        <v>78</v>
      </c>
      <c r="Q32" s="31" t="s">
        <v>18</v>
      </c>
      <c r="R32" s="31" t="s">
        <v>93</v>
      </c>
      <c r="S32" s="105" t="s">
        <v>3</v>
      </c>
      <c r="T32" s="31" t="s">
        <v>91</v>
      </c>
      <c r="U32" s="31" t="s">
        <v>90</v>
      </c>
      <c r="V32" s="31" t="s">
        <v>74</v>
      </c>
      <c r="W32" s="31" t="s">
        <v>69</v>
      </c>
      <c r="X32" s="31" t="s">
        <v>63</v>
      </c>
      <c r="Y32" s="31" t="s">
        <v>56</v>
      </c>
      <c r="Z32" s="31" t="s">
        <v>48</v>
      </c>
      <c r="AA32" s="31" t="s">
        <v>39</v>
      </c>
      <c r="AB32" s="291" t="s">
        <v>28</v>
      </c>
    </row>
    <row r="33" spans="2:28" ht="15" customHeight="1">
      <c r="B33" s="299" t="s">
        <v>79</v>
      </c>
      <c r="C33" s="37" t="s">
        <v>98</v>
      </c>
      <c r="D33" s="31" t="s">
        <v>99</v>
      </c>
      <c r="E33" s="31" t="s">
        <v>100</v>
      </c>
      <c r="F33" s="17" t="s">
        <v>4</v>
      </c>
      <c r="G33" s="36" t="s">
        <v>89</v>
      </c>
      <c r="H33" s="37" t="s">
        <v>75</v>
      </c>
      <c r="I33" s="31" t="s">
        <v>70</v>
      </c>
      <c r="J33" s="31" t="s">
        <v>64</v>
      </c>
      <c r="K33" s="31" t="s">
        <v>57</v>
      </c>
      <c r="L33" s="31" t="s">
        <v>49</v>
      </c>
      <c r="M33" s="31" t="s">
        <v>40</v>
      </c>
      <c r="N33" s="291" t="s">
        <v>29</v>
      </c>
      <c r="O33" s="39"/>
      <c r="P33" s="294" t="s">
        <v>79</v>
      </c>
      <c r="Q33" s="31" t="s">
        <v>98</v>
      </c>
      <c r="R33" s="31" t="s">
        <v>99</v>
      </c>
      <c r="S33" s="31" t="s">
        <v>100</v>
      </c>
      <c r="T33" s="100" t="s">
        <v>4</v>
      </c>
      <c r="U33" s="31" t="s">
        <v>89</v>
      </c>
      <c r="V33" s="31" t="s">
        <v>75</v>
      </c>
      <c r="W33" s="31" t="s">
        <v>70</v>
      </c>
      <c r="X33" s="31" t="s">
        <v>64</v>
      </c>
      <c r="Y33" s="31" t="s">
        <v>57</v>
      </c>
      <c r="Z33" s="31" t="s">
        <v>49</v>
      </c>
      <c r="AA33" s="31" t="s">
        <v>40</v>
      </c>
      <c r="AB33" s="291" t="s">
        <v>29</v>
      </c>
    </row>
    <row r="34" spans="2:28" ht="15" customHeight="1">
      <c r="B34" s="299" t="s">
        <v>80</v>
      </c>
      <c r="C34" s="31" t="s">
        <v>101</v>
      </c>
      <c r="D34" s="31" t="s">
        <v>109</v>
      </c>
      <c r="E34" s="31" t="s">
        <v>117</v>
      </c>
      <c r="F34" s="31" t="s">
        <v>125</v>
      </c>
      <c r="G34" s="82">
        <v>99</v>
      </c>
      <c r="H34" s="36" t="s">
        <v>88</v>
      </c>
      <c r="I34" s="31" t="s">
        <v>71</v>
      </c>
      <c r="J34" s="31" t="s">
        <v>65</v>
      </c>
      <c r="K34" s="31" t="s">
        <v>58</v>
      </c>
      <c r="L34" s="31" t="s">
        <v>50</v>
      </c>
      <c r="M34" s="31" t="s">
        <v>41</v>
      </c>
      <c r="N34" s="291" t="s">
        <v>31</v>
      </c>
      <c r="O34" s="39"/>
      <c r="P34" s="294" t="s">
        <v>80</v>
      </c>
      <c r="Q34" s="31" t="s">
        <v>101</v>
      </c>
      <c r="R34" s="31" t="s">
        <v>109</v>
      </c>
      <c r="S34" s="31" t="s">
        <v>117</v>
      </c>
      <c r="T34" s="31" t="s">
        <v>125</v>
      </c>
      <c r="U34" s="104">
        <v>99</v>
      </c>
      <c r="V34" s="31" t="s">
        <v>88</v>
      </c>
      <c r="W34" s="31" t="s">
        <v>71</v>
      </c>
      <c r="X34" s="31" t="s">
        <v>65</v>
      </c>
      <c r="Y34" s="31" t="s">
        <v>58</v>
      </c>
      <c r="Z34" s="31" t="s">
        <v>50</v>
      </c>
      <c r="AA34" s="31" t="s">
        <v>41</v>
      </c>
      <c r="AB34" s="291" t="s">
        <v>31</v>
      </c>
    </row>
    <row r="35" spans="2:28" ht="15" customHeight="1">
      <c r="B35" s="300" t="s">
        <v>81</v>
      </c>
      <c r="C35" s="31" t="s">
        <v>102</v>
      </c>
      <c r="D35" s="31" t="s">
        <v>110</v>
      </c>
      <c r="E35" s="31" t="s">
        <v>118</v>
      </c>
      <c r="F35" s="31" t="s">
        <v>126</v>
      </c>
      <c r="G35" s="31" t="s">
        <v>133</v>
      </c>
      <c r="H35" s="82">
        <v>88</v>
      </c>
      <c r="I35" s="31" t="s">
        <v>72</v>
      </c>
      <c r="J35" s="31" t="s">
        <v>66</v>
      </c>
      <c r="K35" s="31" t="s">
        <v>59</v>
      </c>
      <c r="L35" s="31" t="s">
        <v>51</v>
      </c>
      <c r="M35" s="31" t="s">
        <v>42</v>
      </c>
      <c r="N35" s="291" t="s">
        <v>32</v>
      </c>
      <c r="O35" s="39"/>
      <c r="P35" s="294" t="s">
        <v>81</v>
      </c>
      <c r="Q35" s="31" t="s">
        <v>102</v>
      </c>
      <c r="R35" s="31" t="s">
        <v>110</v>
      </c>
      <c r="S35" s="31" t="s">
        <v>118</v>
      </c>
      <c r="T35" s="31" t="s">
        <v>126</v>
      </c>
      <c r="U35" s="31" t="s">
        <v>133</v>
      </c>
      <c r="V35" s="31">
        <v>88</v>
      </c>
      <c r="W35" s="31" t="s">
        <v>72</v>
      </c>
      <c r="X35" s="31" t="s">
        <v>66</v>
      </c>
      <c r="Y35" s="31" t="s">
        <v>59</v>
      </c>
      <c r="Z35" s="31" t="s">
        <v>51</v>
      </c>
      <c r="AA35" s="31" t="s">
        <v>42</v>
      </c>
      <c r="AB35" s="291" t="s">
        <v>32</v>
      </c>
    </row>
    <row r="36" spans="2:28" ht="15" customHeight="1">
      <c r="B36" s="294" t="s">
        <v>82</v>
      </c>
      <c r="C36" s="31" t="s">
        <v>103</v>
      </c>
      <c r="D36" s="31" t="s">
        <v>111</v>
      </c>
      <c r="E36" s="31" t="s">
        <v>119</v>
      </c>
      <c r="F36" s="31" t="s">
        <v>127</v>
      </c>
      <c r="G36" s="31" t="s">
        <v>134</v>
      </c>
      <c r="H36" s="31" t="s">
        <v>140</v>
      </c>
      <c r="I36" s="36">
        <v>77</v>
      </c>
      <c r="J36" s="31" t="s">
        <v>67</v>
      </c>
      <c r="K36" s="31" t="s">
        <v>60</v>
      </c>
      <c r="L36" s="31" t="s">
        <v>52</v>
      </c>
      <c r="M36" s="31" t="s">
        <v>43</v>
      </c>
      <c r="N36" s="291" t="s">
        <v>33</v>
      </c>
      <c r="O36" s="39"/>
      <c r="P36" s="294" t="s">
        <v>82</v>
      </c>
      <c r="Q36" s="31" t="s">
        <v>103</v>
      </c>
      <c r="R36" s="31" t="s">
        <v>111</v>
      </c>
      <c r="S36" s="31" t="s">
        <v>119</v>
      </c>
      <c r="T36" s="31" t="s">
        <v>127</v>
      </c>
      <c r="U36" s="31" t="s">
        <v>134</v>
      </c>
      <c r="V36" s="31" t="s">
        <v>140</v>
      </c>
      <c r="W36" s="31">
        <v>77</v>
      </c>
      <c r="X36" s="31" t="s">
        <v>67</v>
      </c>
      <c r="Y36" s="31" t="s">
        <v>60</v>
      </c>
      <c r="Z36" s="31" t="s">
        <v>52</v>
      </c>
      <c r="AA36" s="31" t="s">
        <v>43</v>
      </c>
      <c r="AB36" s="291" t="s">
        <v>33</v>
      </c>
    </row>
    <row r="37" spans="2:28" ht="15" customHeight="1">
      <c r="B37" s="294" t="s">
        <v>83</v>
      </c>
      <c r="C37" s="31" t="s">
        <v>108</v>
      </c>
      <c r="D37" s="31" t="s">
        <v>112</v>
      </c>
      <c r="E37" s="31" t="s">
        <v>120</v>
      </c>
      <c r="F37" s="31" t="s">
        <v>128</v>
      </c>
      <c r="G37" s="31" t="s">
        <v>135</v>
      </c>
      <c r="H37" s="31" t="s">
        <v>141</v>
      </c>
      <c r="I37" s="31" t="s">
        <v>146</v>
      </c>
      <c r="J37" s="36">
        <v>66</v>
      </c>
      <c r="K37" s="31" t="s">
        <v>61</v>
      </c>
      <c r="L37" s="31" t="s">
        <v>53</v>
      </c>
      <c r="M37" s="31" t="s">
        <v>44</v>
      </c>
      <c r="N37" s="291" t="s">
        <v>34</v>
      </c>
      <c r="O37" s="39"/>
      <c r="P37" s="294" t="s">
        <v>83</v>
      </c>
      <c r="Q37" s="31" t="s">
        <v>108</v>
      </c>
      <c r="R37" s="31" t="s">
        <v>112</v>
      </c>
      <c r="S37" s="31" t="s">
        <v>120</v>
      </c>
      <c r="T37" s="31" t="s">
        <v>128</v>
      </c>
      <c r="U37" s="31" t="s">
        <v>135</v>
      </c>
      <c r="V37" s="31" t="s">
        <v>141</v>
      </c>
      <c r="W37" s="31" t="s">
        <v>146</v>
      </c>
      <c r="X37" s="31">
        <v>66</v>
      </c>
      <c r="Y37" s="31" t="s">
        <v>61</v>
      </c>
      <c r="Z37" s="31" t="s">
        <v>53</v>
      </c>
      <c r="AA37" s="31" t="s">
        <v>44</v>
      </c>
      <c r="AB37" s="291" t="s">
        <v>34</v>
      </c>
    </row>
    <row r="38" spans="2:28" ht="15" customHeight="1">
      <c r="B38" s="294" t="s">
        <v>84</v>
      </c>
      <c r="C38" s="31" t="s">
        <v>104</v>
      </c>
      <c r="D38" s="31" t="s">
        <v>113</v>
      </c>
      <c r="E38" s="31" t="s">
        <v>121</v>
      </c>
      <c r="F38" s="31" t="s">
        <v>129</v>
      </c>
      <c r="G38" s="31" t="s">
        <v>136</v>
      </c>
      <c r="H38" s="31" t="s">
        <v>142</v>
      </c>
      <c r="I38" s="31" t="s">
        <v>147</v>
      </c>
      <c r="J38" s="31" t="s">
        <v>151</v>
      </c>
      <c r="K38" s="38">
        <v>55</v>
      </c>
      <c r="L38" s="31" t="s">
        <v>54</v>
      </c>
      <c r="M38" s="31" t="s">
        <v>45</v>
      </c>
      <c r="N38" s="291" t="s">
        <v>35</v>
      </c>
      <c r="P38" s="294" t="s">
        <v>84</v>
      </c>
      <c r="Q38" s="31" t="s">
        <v>104</v>
      </c>
      <c r="R38" s="31" t="s">
        <v>113</v>
      </c>
      <c r="S38" s="31" t="s">
        <v>121</v>
      </c>
      <c r="T38" s="31" t="s">
        <v>129</v>
      </c>
      <c r="U38" s="31" t="s">
        <v>136</v>
      </c>
      <c r="V38" s="31" t="s">
        <v>142</v>
      </c>
      <c r="W38" s="31" t="s">
        <v>147</v>
      </c>
      <c r="X38" s="31" t="s">
        <v>151</v>
      </c>
      <c r="Y38" s="31">
        <v>55</v>
      </c>
      <c r="Z38" s="31" t="s">
        <v>54</v>
      </c>
      <c r="AA38" s="31" t="s">
        <v>45</v>
      </c>
      <c r="AB38" s="291" t="s">
        <v>35</v>
      </c>
    </row>
    <row r="39" spans="2:28" ht="15" customHeight="1">
      <c r="B39" s="294" t="s">
        <v>85</v>
      </c>
      <c r="C39" s="31" t="s">
        <v>105</v>
      </c>
      <c r="D39" s="31" t="s">
        <v>114</v>
      </c>
      <c r="E39" s="31" t="s">
        <v>122</v>
      </c>
      <c r="F39" s="31" t="s">
        <v>130</v>
      </c>
      <c r="G39" s="31" t="s">
        <v>137</v>
      </c>
      <c r="H39" s="31" t="s">
        <v>143</v>
      </c>
      <c r="I39" s="31" t="s">
        <v>148</v>
      </c>
      <c r="J39" s="31" t="s">
        <v>152</v>
      </c>
      <c r="K39" s="31" t="s">
        <v>155</v>
      </c>
      <c r="L39" s="31">
        <v>44</v>
      </c>
      <c r="M39" s="31" t="s">
        <v>46</v>
      </c>
      <c r="N39" s="291" t="s">
        <v>36</v>
      </c>
      <c r="P39" s="294" t="s">
        <v>85</v>
      </c>
      <c r="Q39" s="31" t="s">
        <v>105</v>
      </c>
      <c r="R39" s="31" t="s">
        <v>114</v>
      </c>
      <c r="S39" s="31" t="s">
        <v>122</v>
      </c>
      <c r="T39" s="31" t="s">
        <v>130</v>
      </c>
      <c r="U39" s="31" t="s">
        <v>137</v>
      </c>
      <c r="V39" s="31" t="s">
        <v>143</v>
      </c>
      <c r="W39" s="31" t="s">
        <v>148</v>
      </c>
      <c r="X39" s="31" t="s">
        <v>152</v>
      </c>
      <c r="Y39" s="31" t="s">
        <v>155</v>
      </c>
      <c r="Z39" s="31">
        <v>44</v>
      </c>
      <c r="AA39" s="31" t="s">
        <v>46</v>
      </c>
      <c r="AB39" s="291" t="s">
        <v>36</v>
      </c>
    </row>
    <row r="40" spans="2:28" ht="15" customHeight="1">
      <c r="B40" s="294" t="s">
        <v>86</v>
      </c>
      <c r="C40" s="31" t="s">
        <v>106</v>
      </c>
      <c r="D40" s="31" t="s">
        <v>115</v>
      </c>
      <c r="E40" s="31" t="s">
        <v>123</v>
      </c>
      <c r="F40" s="31" t="s">
        <v>131</v>
      </c>
      <c r="G40" s="31" t="s">
        <v>138</v>
      </c>
      <c r="H40" s="31" t="s">
        <v>144</v>
      </c>
      <c r="I40" s="31" t="s">
        <v>149</v>
      </c>
      <c r="J40" s="31" t="s">
        <v>153</v>
      </c>
      <c r="K40" s="31" t="s">
        <v>156</v>
      </c>
      <c r="L40" s="31" t="s">
        <v>158</v>
      </c>
      <c r="M40" s="31">
        <v>33</v>
      </c>
      <c r="N40" s="291" t="s">
        <v>37</v>
      </c>
      <c r="P40" s="294" t="s">
        <v>86</v>
      </c>
      <c r="Q40" s="31" t="s">
        <v>106</v>
      </c>
      <c r="R40" s="31" t="s">
        <v>115</v>
      </c>
      <c r="S40" s="31" t="s">
        <v>123</v>
      </c>
      <c r="T40" s="31" t="s">
        <v>131</v>
      </c>
      <c r="U40" s="31" t="s">
        <v>138</v>
      </c>
      <c r="V40" s="31" t="s">
        <v>144</v>
      </c>
      <c r="W40" s="31" t="s">
        <v>149</v>
      </c>
      <c r="X40" s="31" t="s">
        <v>153</v>
      </c>
      <c r="Y40" s="31" t="s">
        <v>156</v>
      </c>
      <c r="Z40" s="31" t="s">
        <v>158</v>
      </c>
      <c r="AA40" s="31">
        <v>33</v>
      </c>
      <c r="AB40" s="291" t="s">
        <v>37</v>
      </c>
    </row>
    <row r="41" spans="2:28" ht="15.75" thickBot="1">
      <c r="B41" s="295" t="s">
        <v>87</v>
      </c>
      <c r="C41" s="296" t="s">
        <v>107</v>
      </c>
      <c r="D41" s="296" t="s">
        <v>116</v>
      </c>
      <c r="E41" s="296" t="s">
        <v>124</v>
      </c>
      <c r="F41" s="296" t="s">
        <v>132</v>
      </c>
      <c r="G41" s="296" t="s">
        <v>139</v>
      </c>
      <c r="H41" s="296" t="s">
        <v>145</v>
      </c>
      <c r="I41" s="296" t="s">
        <v>150</v>
      </c>
      <c r="J41" s="296" t="s">
        <v>154</v>
      </c>
      <c r="K41" s="296" t="s">
        <v>157</v>
      </c>
      <c r="L41" s="296" t="s">
        <v>160</v>
      </c>
      <c r="M41" s="296" t="s">
        <v>159</v>
      </c>
      <c r="N41" s="297">
        <v>22</v>
      </c>
      <c r="P41" s="295" t="s">
        <v>87</v>
      </c>
      <c r="Q41" s="296" t="s">
        <v>107</v>
      </c>
      <c r="R41" s="296" t="s">
        <v>116</v>
      </c>
      <c r="S41" s="296" t="s">
        <v>124</v>
      </c>
      <c r="T41" s="296" t="s">
        <v>132</v>
      </c>
      <c r="U41" s="296" t="s">
        <v>139</v>
      </c>
      <c r="V41" s="296" t="s">
        <v>145</v>
      </c>
      <c r="W41" s="296" t="s">
        <v>150</v>
      </c>
      <c r="X41" s="296" t="s">
        <v>154</v>
      </c>
      <c r="Y41" s="296" t="s">
        <v>157</v>
      </c>
      <c r="Z41" s="296" t="s">
        <v>160</v>
      </c>
      <c r="AA41" s="296" t="s">
        <v>159</v>
      </c>
      <c r="AB41" s="297">
        <v>22</v>
      </c>
    </row>
    <row r="42" spans="2:28" ht="15.75" thickBot="1"/>
    <row r="43" spans="2:28">
      <c r="B43" s="647" t="s">
        <v>327</v>
      </c>
      <c r="C43" s="648"/>
      <c r="D43" s="648"/>
      <c r="E43" s="648"/>
      <c r="F43" s="648"/>
      <c r="G43" s="648"/>
      <c r="H43" s="648"/>
      <c r="I43" s="648"/>
      <c r="J43" s="648"/>
      <c r="K43" s="648"/>
      <c r="L43" s="648"/>
      <c r="M43" s="648"/>
      <c r="N43" s="650"/>
      <c r="P43" s="647" t="s">
        <v>334</v>
      </c>
      <c r="Q43" s="648"/>
      <c r="R43" s="648"/>
      <c r="S43" s="648"/>
      <c r="T43" s="648"/>
      <c r="U43" s="648"/>
      <c r="V43" s="648"/>
      <c r="W43" s="648"/>
      <c r="X43" s="648"/>
      <c r="Y43" s="648"/>
      <c r="Z43" s="648"/>
      <c r="AA43" s="648"/>
      <c r="AB43" s="650"/>
    </row>
    <row r="44" spans="2:28">
      <c r="B44" s="251" t="s">
        <v>0</v>
      </c>
      <c r="C44" s="17" t="s">
        <v>5</v>
      </c>
      <c r="D44" s="17" t="s">
        <v>6</v>
      </c>
      <c r="E44" s="36" t="s">
        <v>7</v>
      </c>
      <c r="F44" s="36" t="s">
        <v>8</v>
      </c>
      <c r="G44" s="36" t="s">
        <v>9</v>
      </c>
      <c r="H44" s="37" t="s">
        <v>10</v>
      </c>
      <c r="I44" s="37" t="s">
        <v>11</v>
      </c>
      <c r="J44" s="37" t="s">
        <v>12</v>
      </c>
      <c r="K44" s="37" t="s">
        <v>13</v>
      </c>
      <c r="L44" s="37" t="s">
        <v>14</v>
      </c>
      <c r="M44" s="37" t="s">
        <v>15</v>
      </c>
      <c r="N44" s="298" t="s">
        <v>16</v>
      </c>
      <c r="P44" s="307" t="s">
        <v>0</v>
      </c>
      <c r="Q44" s="105" t="s">
        <v>5</v>
      </c>
      <c r="R44" s="102" t="s">
        <v>6</v>
      </c>
      <c r="S44" s="102" t="s">
        <v>7</v>
      </c>
      <c r="T44" s="102" t="s">
        <v>8</v>
      </c>
      <c r="U44" s="107" t="s">
        <v>9</v>
      </c>
      <c r="V44" s="107" t="s">
        <v>10</v>
      </c>
      <c r="W44" s="103" t="s">
        <v>11</v>
      </c>
      <c r="X44" s="103" t="s">
        <v>12</v>
      </c>
      <c r="Y44" s="102" t="s">
        <v>13</v>
      </c>
      <c r="Z44" s="31" t="s">
        <v>14</v>
      </c>
      <c r="AA44" s="31" t="s">
        <v>15</v>
      </c>
      <c r="AB44" s="291" t="s">
        <v>16</v>
      </c>
    </row>
    <row r="45" spans="2:28">
      <c r="B45" s="251" t="s">
        <v>76</v>
      </c>
      <c r="C45" s="17" t="s">
        <v>1</v>
      </c>
      <c r="D45" s="36" t="s">
        <v>95</v>
      </c>
      <c r="E45" s="87" t="s">
        <v>94</v>
      </c>
      <c r="F45" s="36" t="s">
        <v>19</v>
      </c>
      <c r="G45" s="36" t="s">
        <v>20</v>
      </c>
      <c r="H45" s="37" t="s">
        <v>21</v>
      </c>
      <c r="I45" s="37" t="s">
        <v>22</v>
      </c>
      <c r="J45" s="38" t="s">
        <v>23</v>
      </c>
      <c r="K45" s="31" t="s">
        <v>24</v>
      </c>
      <c r="L45" s="31" t="s">
        <v>25</v>
      </c>
      <c r="M45" s="31" t="s">
        <v>26</v>
      </c>
      <c r="N45" s="291" t="s">
        <v>191</v>
      </c>
      <c r="P45" s="307" t="s">
        <v>76</v>
      </c>
      <c r="Q45" s="105" t="s">
        <v>1</v>
      </c>
      <c r="R45" s="102" t="s">
        <v>95</v>
      </c>
      <c r="S45" s="102" t="s">
        <v>94</v>
      </c>
      <c r="T45" s="102" t="s">
        <v>19</v>
      </c>
      <c r="U45" s="107" t="s">
        <v>20</v>
      </c>
      <c r="V45" s="31" t="s">
        <v>21</v>
      </c>
      <c r="W45" s="31" t="s">
        <v>22</v>
      </c>
      <c r="X45" s="31" t="s">
        <v>23</v>
      </c>
      <c r="Y45" s="31" t="s">
        <v>24</v>
      </c>
      <c r="Z45" s="31" t="s">
        <v>25</v>
      </c>
      <c r="AA45" s="31" t="s">
        <v>26</v>
      </c>
      <c r="AB45" s="291" t="s">
        <v>191</v>
      </c>
    </row>
    <row r="46" spans="2:28">
      <c r="B46" s="251" t="s">
        <v>77</v>
      </c>
      <c r="C46" s="87" t="s">
        <v>17</v>
      </c>
      <c r="D46" s="17" t="s">
        <v>2</v>
      </c>
      <c r="E46" s="36" t="s">
        <v>97</v>
      </c>
      <c r="F46" s="36" t="s">
        <v>92</v>
      </c>
      <c r="G46" s="36" t="s">
        <v>96</v>
      </c>
      <c r="H46" s="37" t="s">
        <v>73</v>
      </c>
      <c r="I46" s="31" t="s">
        <v>68</v>
      </c>
      <c r="J46" s="31" t="s">
        <v>62</v>
      </c>
      <c r="K46" s="31" t="s">
        <v>55</v>
      </c>
      <c r="L46" s="31" t="s">
        <v>47</v>
      </c>
      <c r="M46" s="31" t="s">
        <v>38</v>
      </c>
      <c r="N46" s="291" t="s">
        <v>30</v>
      </c>
      <c r="P46" s="315" t="s">
        <v>77</v>
      </c>
      <c r="Q46" s="107" t="s">
        <v>17</v>
      </c>
      <c r="R46" s="105" t="s">
        <v>2</v>
      </c>
      <c r="S46" s="102" t="s">
        <v>97</v>
      </c>
      <c r="T46" s="102" t="s">
        <v>92</v>
      </c>
      <c r="U46" s="31" t="s">
        <v>96</v>
      </c>
      <c r="V46" s="31" t="s">
        <v>73</v>
      </c>
      <c r="W46" s="31" t="s">
        <v>68</v>
      </c>
      <c r="X46" s="31" t="s">
        <v>62</v>
      </c>
      <c r="Y46" s="31" t="s">
        <v>55</v>
      </c>
      <c r="Z46" s="31" t="s">
        <v>47</v>
      </c>
      <c r="AA46" s="31" t="s">
        <v>38</v>
      </c>
      <c r="AB46" s="291" t="s">
        <v>30</v>
      </c>
    </row>
    <row r="47" spans="2:28">
      <c r="B47" s="292" t="s">
        <v>78</v>
      </c>
      <c r="C47" s="37" t="s">
        <v>18</v>
      </c>
      <c r="D47" s="37" t="s">
        <v>93</v>
      </c>
      <c r="E47" s="17" t="s">
        <v>3</v>
      </c>
      <c r="F47" s="36" t="s">
        <v>91</v>
      </c>
      <c r="G47" s="36" t="s">
        <v>90</v>
      </c>
      <c r="H47" s="37" t="s">
        <v>74</v>
      </c>
      <c r="I47" s="31" t="s">
        <v>69</v>
      </c>
      <c r="J47" s="31" t="s">
        <v>63</v>
      </c>
      <c r="K47" s="31" t="s">
        <v>56</v>
      </c>
      <c r="L47" s="31" t="s">
        <v>48</v>
      </c>
      <c r="M47" s="31" t="s">
        <v>39</v>
      </c>
      <c r="N47" s="291" t="s">
        <v>28</v>
      </c>
      <c r="O47" s="39"/>
      <c r="P47" s="315" t="s">
        <v>78</v>
      </c>
      <c r="Q47" s="31" t="s">
        <v>18</v>
      </c>
      <c r="R47" s="31" t="s">
        <v>93</v>
      </c>
      <c r="S47" s="105" t="s">
        <v>3</v>
      </c>
      <c r="T47" s="102" t="s">
        <v>91</v>
      </c>
      <c r="U47" s="31" t="s">
        <v>90</v>
      </c>
      <c r="V47" s="31" t="s">
        <v>74</v>
      </c>
      <c r="W47" s="31" t="s">
        <v>69</v>
      </c>
      <c r="X47" s="31" t="s">
        <v>63</v>
      </c>
      <c r="Y47" s="31" t="s">
        <v>56</v>
      </c>
      <c r="Z47" s="31" t="s">
        <v>48</v>
      </c>
      <c r="AA47" s="31" t="s">
        <v>39</v>
      </c>
      <c r="AB47" s="291" t="s">
        <v>28</v>
      </c>
    </row>
    <row r="48" spans="2:28">
      <c r="B48" s="299" t="s">
        <v>79</v>
      </c>
      <c r="C48" s="37" t="s">
        <v>98</v>
      </c>
      <c r="D48" s="37" t="s">
        <v>99</v>
      </c>
      <c r="E48" s="38" t="s">
        <v>100</v>
      </c>
      <c r="F48" s="17" t="s">
        <v>4</v>
      </c>
      <c r="G48" s="36" t="s">
        <v>89</v>
      </c>
      <c r="H48" s="37" t="s">
        <v>75</v>
      </c>
      <c r="I48" s="31" t="s">
        <v>70</v>
      </c>
      <c r="J48" s="31" t="s">
        <v>64</v>
      </c>
      <c r="K48" s="31" t="s">
        <v>57</v>
      </c>
      <c r="L48" s="31" t="s">
        <v>49</v>
      </c>
      <c r="M48" s="31" t="s">
        <v>40</v>
      </c>
      <c r="N48" s="291" t="s">
        <v>29</v>
      </c>
      <c r="O48" s="39"/>
      <c r="P48" s="314" t="s">
        <v>79</v>
      </c>
      <c r="Q48" s="31" t="s">
        <v>98</v>
      </c>
      <c r="R48" s="31" t="s">
        <v>99</v>
      </c>
      <c r="S48" s="31" t="s">
        <v>100</v>
      </c>
      <c r="T48" s="105" t="s">
        <v>4</v>
      </c>
      <c r="U48" s="102" t="s">
        <v>89</v>
      </c>
      <c r="V48" s="31" t="s">
        <v>75</v>
      </c>
      <c r="W48" s="31" t="s">
        <v>70</v>
      </c>
      <c r="X48" s="31" t="s">
        <v>64</v>
      </c>
      <c r="Y48" s="31" t="s">
        <v>57</v>
      </c>
      <c r="Z48" s="31" t="s">
        <v>49</v>
      </c>
      <c r="AA48" s="31" t="s">
        <v>40</v>
      </c>
      <c r="AB48" s="291" t="s">
        <v>29</v>
      </c>
    </row>
    <row r="49" spans="2:28">
      <c r="B49" s="299" t="s">
        <v>80</v>
      </c>
      <c r="C49" s="31" t="s">
        <v>101</v>
      </c>
      <c r="D49" s="31" t="s">
        <v>109</v>
      </c>
      <c r="E49" s="31" t="s">
        <v>117</v>
      </c>
      <c r="F49" s="31" t="s">
        <v>125</v>
      </c>
      <c r="G49" s="82">
        <v>99</v>
      </c>
      <c r="H49" s="36" t="s">
        <v>88</v>
      </c>
      <c r="I49" s="31" t="s">
        <v>71</v>
      </c>
      <c r="J49" s="31" t="s">
        <v>65</v>
      </c>
      <c r="K49" s="31" t="s">
        <v>58</v>
      </c>
      <c r="L49" s="31" t="s">
        <v>50</v>
      </c>
      <c r="M49" s="31" t="s">
        <v>41</v>
      </c>
      <c r="N49" s="291" t="s">
        <v>31</v>
      </c>
      <c r="O49" s="39"/>
      <c r="P49" s="294" t="s">
        <v>80</v>
      </c>
      <c r="Q49" s="31" t="s">
        <v>101</v>
      </c>
      <c r="R49" s="31" t="s">
        <v>109</v>
      </c>
      <c r="S49" s="31" t="s">
        <v>117</v>
      </c>
      <c r="T49" s="31" t="s">
        <v>125</v>
      </c>
      <c r="U49" s="100">
        <v>99</v>
      </c>
      <c r="V49" s="31" t="s">
        <v>88</v>
      </c>
      <c r="W49" s="31" t="s">
        <v>71</v>
      </c>
      <c r="X49" s="31" t="s">
        <v>65</v>
      </c>
      <c r="Y49" s="31" t="s">
        <v>58</v>
      </c>
      <c r="Z49" s="31" t="s">
        <v>50</v>
      </c>
      <c r="AA49" s="31" t="s">
        <v>41</v>
      </c>
      <c r="AB49" s="291" t="s">
        <v>31</v>
      </c>
    </row>
    <row r="50" spans="2:28">
      <c r="B50" s="299" t="s">
        <v>81</v>
      </c>
      <c r="C50" s="31" t="s">
        <v>102</v>
      </c>
      <c r="D50" s="31" t="s">
        <v>110</v>
      </c>
      <c r="E50" s="31" t="s">
        <v>118</v>
      </c>
      <c r="F50" s="31" t="s">
        <v>126</v>
      </c>
      <c r="G50" s="31" t="s">
        <v>133</v>
      </c>
      <c r="H50" s="82">
        <v>88</v>
      </c>
      <c r="I50" s="31" t="s">
        <v>72</v>
      </c>
      <c r="J50" s="31" t="s">
        <v>66</v>
      </c>
      <c r="K50" s="31" t="s">
        <v>59</v>
      </c>
      <c r="L50" s="31" t="s">
        <v>51</v>
      </c>
      <c r="M50" s="31" t="s">
        <v>42</v>
      </c>
      <c r="N50" s="291" t="s">
        <v>32</v>
      </c>
      <c r="P50" s="294" t="s">
        <v>81</v>
      </c>
      <c r="Q50" s="31" t="s">
        <v>102</v>
      </c>
      <c r="R50" s="31" t="s">
        <v>110</v>
      </c>
      <c r="S50" s="31" t="s">
        <v>118</v>
      </c>
      <c r="T50" s="31" t="s">
        <v>126</v>
      </c>
      <c r="U50" s="31" t="s">
        <v>133</v>
      </c>
      <c r="V50" s="102">
        <v>88</v>
      </c>
      <c r="W50" s="31" t="s">
        <v>72</v>
      </c>
      <c r="X50" s="31" t="s">
        <v>66</v>
      </c>
      <c r="Y50" s="31" t="s">
        <v>59</v>
      </c>
      <c r="Z50" s="31" t="s">
        <v>51</v>
      </c>
      <c r="AA50" s="31" t="s">
        <v>42</v>
      </c>
      <c r="AB50" s="291" t="s">
        <v>32</v>
      </c>
    </row>
    <row r="51" spans="2:28">
      <c r="B51" s="294" t="s">
        <v>82</v>
      </c>
      <c r="C51" s="31" t="s">
        <v>103</v>
      </c>
      <c r="D51" s="31" t="s">
        <v>111</v>
      </c>
      <c r="E51" s="31" t="s">
        <v>119</v>
      </c>
      <c r="F51" s="31" t="s">
        <v>127</v>
      </c>
      <c r="G51" s="31" t="s">
        <v>134</v>
      </c>
      <c r="H51" s="31" t="s">
        <v>140</v>
      </c>
      <c r="I51" s="36">
        <v>77</v>
      </c>
      <c r="J51" s="31" t="s">
        <v>67</v>
      </c>
      <c r="K51" s="31" t="s">
        <v>60</v>
      </c>
      <c r="L51" s="31" t="s">
        <v>52</v>
      </c>
      <c r="M51" s="31" t="s">
        <v>43</v>
      </c>
      <c r="N51" s="291" t="s">
        <v>33</v>
      </c>
      <c r="P51" s="294" t="s">
        <v>82</v>
      </c>
      <c r="Q51" s="31" t="s">
        <v>103</v>
      </c>
      <c r="R51" s="31" t="s">
        <v>111</v>
      </c>
      <c r="S51" s="31" t="s">
        <v>119</v>
      </c>
      <c r="T51" s="31" t="s">
        <v>127</v>
      </c>
      <c r="U51" s="31" t="s">
        <v>134</v>
      </c>
      <c r="V51" s="31" t="s">
        <v>140</v>
      </c>
      <c r="W51" s="102">
        <v>77</v>
      </c>
      <c r="X51" s="31" t="s">
        <v>67</v>
      </c>
      <c r="Y51" s="31" t="s">
        <v>60</v>
      </c>
      <c r="Z51" s="31" t="s">
        <v>52</v>
      </c>
      <c r="AA51" s="31" t="s">
        <v>43</v>
      </c>
      <c r="AB51" s="291" t="s">
        <v>33</v>
      </c>
    </row>
    <row r="52" spans="2:28">
      <c r="B52" s="294" t="s">
        <v>83</v>
      </c>
      <c r="C52" s="31" t="s">
        <v>108</v>
      </c>
      <c r="D52" s="31" t="s">
        <v>112</v>
      </c>
      <c r="E52" s="31" t="s">
        <v>120</v>
      </c>
      <c r="F52" s="31" t="s">
        <v>128</v>
      </c>
      <c r="G52" s="31" t="s">
        <v>135</v>
      </c>
      <c r="H52" s="31" t="s">
        <v>141</v>
      </c>
      <c r="I52" s="31" t="s">
        <v>146</v>
      </c>
      <c r="J52" s="36">
        <v>66</v>
      </c>
      <c r="K52" s="31" t="s">
        <v>61</v>
      </c>
      <c r="L52" s="31" t="s">
        <v>53</v>
      </c>
      <c r="M52" s="31" t="s">
        <v>44</v>
      </c>
      <c r="N52" s="291" t="s">
        <v>34</v>
      </c>
      <c r="P52" s="294" t="s">
        <v>83</v>
      </c>
      <c r="Q52" s="31" t="s">
        <v>108</v>
      </c>
      <c r="R52" s="31" t="s">
        <v>112</v>
      </c>
      <c r="S52" s="31" t="s">
        <v>120</v>
      </c>
      <c r="T52" s="31" t="s">
        <v>128</v>
      </c>
      <c r="U52" s="31" t="s">
        <v>135</v>
      </c>
      <c r="V52" s="31" t="s">
        <v>141</v>
      </c>
      <c r="W52" s="31" t="s">
        <v>146</v>
      </c>
      <c r="X52" s="102">
        <v>66</v>
      </c>
      <c r="Y52" s="31" t="s">
        <v>61</v>
      </c>
      <c r="Z52" s="31" t="s">
        <v>53</v>
      </c>
      <c r="AA52" s="31" t="s">
        <v>44</v>
      </c>
      <c r="AB52" s="291" t="s">
        <v>34</v>
      </c>
    </row>
    <row r="53" spans="2:28">
      <c r="B53" s="294" t="s">
        <v>84</v>
      </c>
      <c r="C53" s="31" t="s">
        <v>104</v>
      </c>
      <c r="D53" s="31" t="s">
        <v>113</v>
      </c>
      <c r="E53" s="31" t="s">
        <v>121</v>
      </c>
      <c r="F53" s="31" t="s">
        <v>129</v>
      </c>
      <c r="G53" s="31" t="s">
        <v>136</v>
      </c>
      <c r="H53" s="31" t="s">
        <v>142</v>
      </c>
      <c r="I53" s="31" t="s">
        <v>147</v>
      </c>
      <c r="J53" s="31" t="s">
        <v>151</v>
      </c>
      <c r="K53" s="36">
        <v>55</v>
      </c>
      <c r="L53" s="31" t="s">
        <v>54</v>
      </c>
      <c r="M53" s="31" t="s">
        <v>45</v>
      </c>
      <c r="N53" s="291" t="s">
        <v>35</v>
      </c>
      <c r="P53" s="294" t="s">
        <v>84</v>
      </c>
      <c r="Q53" s="31" t="s">
        <v>104</v>
      </c>
      <c r="R53" s="31" t="s">
        <v>113</v>
      </c>
      <c r="S53" s="31" t="s">
        <v>121</v>
      </c>
      <c r="T53" s="31" t="s">
        <v>129</v>
      </c>
      <c r="U53" s="31" t="s">
        <v>136</v>
      </c>
      <c r="V53" s="31" t="s">
        <v>142</v>
      </c>
      <c r="W53" s="31" t="s">
        <v>147</v>
      </c>
      <c r="X53" s="31" t="s">
        <v>151</v>
      </c>
      <c r="Y53" s="102">
        <v>55</v>
      </c>
      <c r="Z53" s="31" t="s">
        <v>54</v>
      </c>
      <c r="AA53" s="31" t="s">
        <v>45</v>
      </c>
      <c r="AB53" s="291" t="s">
        <v>35</v>
      </c>
    </row>
    <row r="54" spans="2:28">
      <c r="B54" s="294" t="s">
        <v>85</v>
      </c>
      <c r="C54" s="31" t="s">
        <v>105</v>
      </c>
      <c r="D54" s="31" t="s">
        <v>114</v>
      </c>
      <c r="E54" s="31" t="s">
        <v>122</v>
      </c>
      <c r="F54" s="31" t="s">
        <v>130</v>
      </c>
      <c r="G54" s="31" t="s">
        <v>137</v>
      </c>
      <c r="H54" s="31" t="s">
        <v>143</v>
      </c>
      <c r="I54" s="31" t="s">
        <v>148</v>
      </c>
      <c r="J54" s="31" t="s">
        <v>152</v>
      </c>
      <c r="K54" s="31" t="s">
        <v>155</v>
      </c>
      <c r="L54" s="31">
        <v>44</v>
      </c>
      <c r="M54" s="31" t="s">
        <v>46</v>
      </c>
      <c r="N54" s="291" t="s">
        <v>36</v>
      </c>
      <c r="P54" s="294" t="s">
        <v>85</v>
      </c>
      <c r="Q54" s="31" t="s">
        <v>105</v>
      </c>
      <c r="R54" s="31" t="s">
        <v>114</v>
      </c>
      <c r="S54" s="31" t="s">
        <v>122</v>
      </c>
      <c r="T54" s="31" t="s">
        <v>130</v>
      </c>
      <c r="U54" s="31" t="s">
        <v>137</v>
      </c>
      <c r="V54" s="31" t="s">
        <v>143</v>
      </c>
      <c r="W54" s="31" t="s">
        <v>148</v>
      </c>
      <c r="X54" s="31" t="s">
        <v>152</v>
      </c>
      <c r="Y54" s="31" t="s">
        <v>155</v>
      </c>
      <c r="Z54" s="31">
        <v>44</v>
      </c>
      <c r="AA54" s="31" t="s">
        <v>46</v>
      </c>
      <c r="AB54" s="291" t="s">
        <v>36</v>
      </c>
    </row>
    <row r="55" spans="2:28">
      <c r="B55" s="294" t="s">
        <v>86</v>
      </c>
      <c r="C55" s="31" t="s">
        <v>106</v>
      </c>
      <c r="D55" s="31" t="s">
        <v>115</v>
      </c>
      <c r="E55" s="31" t="s">
        <v>123</v>
      </c>
      <c r="F55" s="31" t="s">
        <v>131</v>
      </c>
      <c r="G55" s="31" t="s">
        <v>138</v>
      </c>
      <c r="H55" s="31" t="s">
        <v>144</v>
      </c>
      <c r="I55" s="31" t="s">
        <v>149</v>
      </c>
      <c r="J55" s="31" t="s">
        <v>153</v>
      </c>
      <c r="K55" s="31" t="s">
        <v>156</v>
      </c>
      <c r="L55" s="31" t="s">
        <v>158</v>
      </c>
      <c r="M55" s="31">
        <v>33</v>
      </c>
      <c r="N55" s="291" t="s">
        <v>37</v>
      </c>
      <c r="P55" s="294" t="s">
        <v>86</v>
      </c>
      <c r="Q55" s="31" t="s">
        <v>106</v>
      </c>
      <c r="R55" s="31" t="s">
        <v>115</v>
      </c>
      <c r="S55" s="31" t="s">
        <v>123</v>
      </c>
      <c r="T55" s="31" t="s">
        <v>131</v>
      </c>
      <c r="U55" s="31" t="s">
        <v>138</v>
      </c>
      <c r="V55" s="31" t="s">
        <v>144</v>
      </c>
      <c r="W55" s="31" t="s">
        <v>149</v>
      </c>
      <c r="X55" s="31" t="s">
        <v>153</v>
      </c>
      <c r="Y55" s="31" t="s">
        <v>156</v>
      </c>
      <c r="Z55" s="31" t="s">
        <v>158</v>
      </c>
      <c r="AA55" s="31">
        <v>33</v>
      </c>
      <c r="AB55" s="291" t="s">
        <v>37</v>
      </c>
    </row>
    <row r="56" spans="2:28" ht="15.75" thickBot="1">
      <c r="B56" s="295" t="s">
        <v>87</v>
      </c>
      <c r="C56" s="296" t="s">
        <v>107</v>
      </c>
      <c r="D56" s="296" t="s">
        <v>116</v>
      </c>
      <c r="E56" s="296" t="s">
        <v>124</v>
      </c>
      <c r="F56" s="296" t="s">
        <v>132</v>
      </c>
      <c r="G56" s="296" t="s">
        <v>139</v>
      </c>
      <c r="H56" s="296" t="s">
        <v>145</v>
      </c>
      <c r="I56" s="296" t="s">
        <v>150</v>
      </c>
      <c r="J56" s="296" t="s">
        <v>154</v>
      </c>
      <c r="K56" s="296" t="s">
        <v>157</v>
      </c>
      <c r="L56" s="296" t="s">
        <v>160</v>
      </c>
      <c r="M56" s="296" t="s">
        <v>159</v>
      </c>
      <c r="N56" s="297">
        <v>22</v>
      </c>
      <c r="P56" s="295" t="s">
        <v>87</v>
      </c>
      <c r="Q56" s="296" t="s">
        <v>107</v>
      </c>
      <c r="R56" s="296" t="s">
        <v>116</v>
      </c>
      <c r="S56" s="296" t="s">
        <v>124</v>
      </c>
      <c r="T56" s="296" t="s">
        <v>132</v>
      </c>
      <c r="U56" s="296" t="s">
        <v>139</v>
      </c>
      <c r="V56" s="296" t="s">
        <v>145</v>
      </c>
      <c r="W56" s="296" t="s">
        <v>150</v>
      </c>
      <c r="X56" s="296" t="s">
        <v>154</v>
      </c>
      <c r="Y56" s="296" t="s">
        <v>157</v>
      </c>
      <c r="Z56" s="296" t="s">
        <v>160</v>
      </c>
      <c r="AA56" s="296" t="s">
        <v>159</v>
      </c>
      <c r="AB56" s="297">
        <v>22</v>
      </c>
    </row>
  </sheetData>
  <mergeCells count="14">
    <mergeCell ref="B2:G3"/>
    <mergeCell ref="P13:AB13"/>
    <mergeCell ref="P28:AB28"/>
    <mergeCell ref="P43:AB43"/>
    <mergeCell ref="C5:N5"/>
    <mergeCell ref="C6:N6"/>
    <mergeCell ref="C7:N7"/>
    <mergeCell ref="C8:N8"/>
    <mergeCell ref="C9:N9"/>
    <mergeCell ref="C10:N10"/>
    <mergeCell ref="C11:N11"/>
    <mergeCell ref="B13:N13"/>
    <mergeCell ref="B28:N28"/>
    <mergeCell ref="B43:N4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VolMP">
                <anchor moveWithCells="1" sizeWithCells="1">
                  <from>
                    <xdr:col>3</xdr:col>
                    <xdr:colOff>133350</xdr:colOff>
                    <xdr:row>1</xdr:row>
                    <xdr:rowOff>66675</xdr:rowOff>
                  </from>
                  <to>
                    <xdr:col>6</xdr:col>
                    <xdr:colOff>190500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4"/>
  <dimension ref="B2:AB41"/>
  <sheetViews>
    <sheetView showGridLines="0" showRowColHeaders="0" workbookViewId="0">
      <selection activeCell="V5" sqref="V5"/>
    </sheetView>
  </sheetViews>
  <sheetFormatPr defaultRowHeight="15"/>
  <cols>
    <col min="1" max="1" width="5.42578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  <col min="15" max="15" width="2.42578125" customWidth="1"/>
    <col min="16" max="16" width="4.85546875" bestFit="1" customWidth="1"/>
    <col min="17" max="17" width="4.7109375" bestFit="1" customWidth="1"/>
    <col min="18" max="18" width="4.5703125" bestFit="1" customWidth="1"/>
    <col min="19" max="19" width="4" bestFit="1" customWidth="1"/>
    <col min="20" max="28" width="4.28515625" bestFit="1" customWidth="1"/>
    <col min="29" max="29" width="2.5703125" customWidth="1"/>
    <col min="30" max="30" width="4.85546875" bestFit="1" customWidth="1"/>
    <col min="31" max="31" width="4.7109375" bestFit="1" customWidth="1"/>
    <col min="32" max="32" width="4.5703125" bestFit="1" customWidth="1"/>
    <col min="33" max="33" width="4" bestFit="1" customWidth="1"/>
    <col min="34" max="42" width="4.28515625" bestFit="1" customWidth="1"/>
  </cols>
  <sheetData>
    <row r="2" spans="2:28">
      <c r="B2" s="766" t="s">
        <v>202</v>
      </c>
      <c r="C2" s="767"/>
      <c r="D2" s="767"/>
      <c r="E2" s="767"/>
      <c r="F2" s="767"/>
      <c r="G2" s="767"/>
      <c r="H2" s="767"/>
      <c r="I2" s="767"/>
      <c r="J2" s="767"/>
      <c r="K2" s="767"/>
      <c r="L2" s="767"/>
      <c r="M2" s="767"/>
      <c r="N2" s="768"/>
      <c r="P2" s="769"/>
      <c r="Q2" s="769"/>
      <c r="R2" s="769"/>
      <c r="S2" s="769"/>
      <c r="T2" s="769"/>
      <c r="U2" s="769"/>
      <c r="V2" s="769"/>
      <c r="W2" s="769"/>
      <c r="X2" s="769"/>
      <c r="Y2" s="769"/>
      <c r="Z2" s="769"/>
      <c r="AA2" s="769"/>
      <c r="AB2" s="769"/>
    </row>
    <row r="3" spans="2:28">
      <c r="B3" s="60" t="s">
        <v>0</v>
      </c>
      <c r="C3" s="60" t="s">
        <v>5</v>
      </c>
      <c r="D3" s="60" t="s">
        <v>6</v>
      </c>
      <c r="E3" s="60" t="s">
        <v>7</v>
      </c>
      <c r="F3" s="179" t="s">
        <v>8</v>
      </c>
      <c r="G3" s="179" t="s">
        <v>9</v>
      </c>
      <c r="H3" s="68" t="s">
        <v>10</v>
      </c>
      <c r="I3" s="68" t="s">
        <v>11</v>
      </c>
      <c r="J3" s="68" t="s">
        <v>12</v>
      </c>
      <c r="K3" s="67" t="s">
        <v>13</v>
      </c>
      <c r="L3" s="67" t="s">
        <v>14</v>
      </c>
      <c r="M3" s="67" t="s">
        <v>15</v>
      </c>
      <c r="N3" s="67" t="s">
        <v>16</v>
      </c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</row>
    <row r="4" spans="2:28" ht="16.5">
      <c r="B4" s="60" t="s">
        <v>76</v>
      </c>
      <c r="C4" s="60" t="s">
        <v>1</v>
      </c>
      <c r="D4" s="179" t="s">
        <v>95</v>
      </c>
      <c r="E4" s="179" t="s">
        <v>94</v>
      </c>
      <c r="F4" s="68" t="s">
        <v>19</v>
      </c>
      <c r="G4" s="68" t="s">
        <v>20</v>
      </c>
      <c r="H4" s="68" t="s">
        <v>21</v>
      </c>
      <c r="I4" s="69" t="s">
        <v>22</v>
      </c>
      <c r="J4" s="69" t="s">
        <v>23</v>
      </c>
      <c r="K4" s="69" t="s">
        <v>24</v>
      </c>
      <c r="L4" s="61" t="s">
        <v>25</v>
      </c>
      <c r="M4" s="61" t="s">
        <v>26</v>
      </c>
      <c r="N4" s="61" t="s">
        <v>191</v>
      </c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</row>
    <row r="5" spans="2:28" ht="16.5">
      <c r="B5" s="68" t="s">
        <v>77</v>
      </c>
      <c r="C5" s="68" t="s">
        <v>17</v>
      </c>
      <c r="D5" s="60" t="s">
        <v>2</v>
      </c>
      <c r="E5" s="68" t="s">
        <v>97</v>
      </c>
      <c r="F5" s="68" t="s">
        <v>92</v>
      </c>
      <c r="G5" s="68" t="s">
        <v>96</v>
      </c>
      <c r="H5" s="68" t="s">
        <v>73</v>
      </c>
      <c r="I5" s="61" t="s">
        <v>68</v>
      </c>
      <c r="J5" s="61" t="s">
        <v>62</v>
      </c>
      <c r="K5" s="61" t="s">
        <v>55</v>
      </c>
      <c r="L5" s="61" t="s">
        <v>47</v>
      </c>
      <c r="M5" s="61" t="s">
        <v>38</v>
      </c>
      <c r="N5" s="61" t="s">
        <v>30</v>
      </c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</row>
    <row r="6" spans="2:28" ht="16.5">
      <c r="B6" s="179" t="s">
        <v>78</v>
      </c>
      <c r="C6" s="67" t="s">
        <v>18</v>
      </c>
      <c r="D6" s="60" t="s">
        <v>93</v>
      </c>
      <c r="E6" s="60" t="s">
        <v>3</v>
      </c>
      <c r="F6" s="68" t="s">
        <v>91</v>
      </c>
      <c r="G6" s="68" t="s">
        <v>90</v>
      </c>
      <c r="H6" s="68" t="s">
        <v>74</v>
      </c>
      <c r="I6" s="61" t="s">
        <v>69</v>
      </c>
      <c r="J6" s="61" t="s">
        <v>63</v>
      </c>
      <c r="K6" s="61" t="s">
        <v>56</v>
      </c>
      <c r="L6" s="61" t="s">
        <v>48</v>
      </c>
      <c r="M6" s="61" t="s">
        <v>39</v>
      </c>
      <c r="N6" s="61" t="s">
        <v>28</v>
      </c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</row>
    <row r="7" spans="2:28" ht="16.5">
      <c r="B7" s="67" t="s">
        <v>79</v>
      </c>
      <c r="C7" s="60" t="s">
        <v>98</v>
      </c>
      <c r="D7" s="60" t="s">
        <v>99</v>
      </c>
      <c r="E7" s="69" t="s">
        <v>100</v>
      </c>
      <c r="F7" s="60" t="s">
        <v>4</v>
      </c>
      <c r="G7" s="68" t="s">
        <v>89</v>
      </c>
      <c r="H7" s="68" t="s">
        <v>75</v>
      </c>
      <c r="I7" s="61" t="s">
        <v>70</v>
      </c>
      <c r="J7" s="61" t="s">
        <v>64</v>
      </c>
      <c r="K7" s="61" t="s">
        <v>57</v>
      </c>
      <c r="L7" s="61" t="s">
        <v>49</v>
      </c>
      <c r="M7" s="61" t="s">
        <v>40</v>
      </c>
      <c r="N7" s="61" t="s">
        <v>29</v>
      </c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</row>
    <row r="8" spans="2:28" ht="17.25" thickBot="1">
      <c r="B8" s="67" t="s">
        <v>80</v>
      </c>
      <c r="C8" s="61" t="s">
        <v>101</v>
      </c>
      <c r="D8" s="61" t="s">
        <v>109</v>
      </c>
      <c r="E8" s="61" t="s">
        <v>117</v>
      </c>
      <c r="F8" s="61" t="s">
        <v>125</v>
      </c>
      <c r="G8" s="67">
        <v>99</v>
      </c>
      <c r="H8" s="68" t="s">
        <v>88</v>
      </c>
      <c r="I8" s="61" t="s">
        <v>71</v>
      </c>
      <c r="J8" s="61" t="s">
        <v>65</v>
      </c>
      <c r="K8" s="61" t="s">
        <v>58</v>
      </c>
      <c r="L8" s="61" t="s">
        <v>50</v>
      </c>
      <c r="M8" s="61" t="s">
        <v>41</v>
      </c>
      <c r="N8" s="61" t="s">
        <v>31</v>
      </c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</row>
    <row r="9" spans="2:28" ht="16.5">
      <c r="B9" s="67" t="s">
        <v>81</v>
      </c>
      <c r="C9" s="61" t="s">
        <v>102</v>
      </c>
      <c r="D9" s="61" t="s">
        <v>110</v>
      </c>
      <c r="E9" s="61" t="s">
        <v>118</v>
      </c>
      <c r="F9" s="61" t="s">
        <v>126</v>
      </c>
      <c r="G9" s="61" t="s">
        <v>133</v>
      </c>
      <c r="H9" s="67">
        <v>88</v>
      </c>
      <c r="I9" s="61" t="s">
        <v>72</v>
      </c>
      <c r="J9" s="61" t="s">
        <v>66</v>
      </c>
      <c r="K9" s="61" t="s">
        <v>59</v>
      </c>
      <c r="L9" s="61" t="s">
        <v>51</v>
      </c>
      <c r="M9" s="61" t="s">
        <v>42</v>
      </c>
      <c r="N9" s="61" t="s">
        <v>32</v>
      </c>
      <c r="P9" s="62"/>
      <c r="Q9" s="770" t="s">
        <v>193</v>
      </c>
      <c r="R9" s="770"/>
      <c r="S9" s="770"/>
      <c r="T9" s="770"/>
      <c r="U9" s="770"/>
      <c r="V9" s="770"/>
      <c r="W9" s="770"/>
      <c r="X9" s="770"/>
      <c r="Y9" s="770"/>
      <c r="Z9" s="770"/>
      <c r="AA9" s="771"/>
      <c r="AB9" s="59"/>
    </row>
    <row r="10" spans="2:28" ht="16.5">
      <c r="B10" s="60" t="s">
        <v>82</v>
      </c>
      <c r="C10" s="61" t="s">
        <v>103</v>
      </c>
      <c r="D10" s="61" t="s">
        <v>111</v>
      </c>
      <c r="E10" s="61" t="s">
        <v>119</v>
      </c>
      <c r="F10" s="61" t="s">
        <v>127</v>
      </c>
      <c r="G10" s="61" t="s">
        <v>134</v>
      </c>
      <c r="H10" s="61" t="s">
        <v>140</v>
      </c>
      <c r="I10" s="67">
        <v>77</v>
      </c>
      <c r="J10" s="61" t="s">
        <v>67</v>
      </c>
      <c r="K10" s="61" t="s">
        <v>60</v>
      </c>
      <c r="L10" s="61" t="s">
        <v>52</v>
      </c>
      <c r="M10" s="61" t="s">
        <v>43</v>
      </c>
      <c r="N10" s="61" t="s">
        <v>33</v>
      </c>
      <c r="P10" s="63"/>
      <c r="Q10" s="761" t="s">
        <v>194</v>
      </c>
      <c r="R10" s="761"/>
      <c r="S10" s="761"/>
      <c r="T10" s="761"/>
      <c r="U10" s="761"/>
      <c r="V10" s="761"/>
      <c r="W10" s="761"/>
      <c r="X10" s="761"/>
      <c r="Y10" s="761"/>
      <c r="Z10" s="761"/>
      <c r="AA10" s="762"/>
      <c r="AB10" s="59"/>
    </row>
    <row r="11" spans="2:28" ht="16.5">
      <c r="B11" s="61" t="s">
        <v>83</v>
      </c>
      <c r="C11" s="61" t="s">
        <v>108</v>
      </c>
      <c r="D11" s="61" t="s">
        <v>112</v>
      </c>
      <c r="E11" s="61" t="s">
        <v>120</v>
      </c>
      <c r="F11" s="61" t="s">
        <v>128</v>
      </c>
      <c r="G11" s="61" t="s">
        <v>135</v>
      </c>
      <c r="H11" s="61" t="s">
        <v>141</v>
      </c>
      <c r="I11" s="61" t="s">
        <v>146</v>
      </c>
      <c r="J11" s="179">
        <v>66</v>
      </c>
      <c r="K11" s="61" t="s">
        <v>61</v>
      </c>
      <c r="L11" s="61" t="s">
        <v>53</v>
      </c>
      <c r="M11" s="61" t="s">
        <v>44</v>
      </c>
      <c r="N11" s="61" t="s">
        <v>34</v>
      </c>
      <c r="P11" s="64"/>
      <c r="Q11" s="761" t="s">
        <v>195</v>
      </c>
      <c r="R11" s="761"/>
      <c r="S11" s="761"/>
      <c r="T11" s="761"/>
      <c r="U11" s="761"/>
      <c r="V11" s="761"/>
      <c r="W11" s="761"/>
      <c r="X11" s="761"/>
      <c r="Y11" s="761"/>
      <c r="Z11" s="761"/>
      <c r="AA11" s="762"/>
      <c r="AB11" s="59"/>
    </row>
    <row r="12" spans="2:28" ht="16.5">
      <c r="B12" s="61" t="s">
        <v>84</v>
      </c>
      <c r="C12" s="61" t="s">
        <v>104</v>
      </c>
      <c r="D12" s="61" t="s">
        <v>113</v>
      </c>
      <c r="E12" s="61" t="s">
        <v>121</v>
      </c>
      <c r="F12" s="61" t="s">
        <v>129</v>
      </c>
      <c r="G12" s="61" t="s">
        <v>136</v>
      </c>
      <c r="H12" s="61" t="s">
        <v>142</v>
      </c>
      <c r="I12" s="61" t="s">
        <v>147</v>
      </c>
      <c r="J12" s="61" t="s">
        <v>151</v>
      </c>
      <c r="K12" s="179">
        <v>55</v>
      </c>
      <c r="L12" s="61" t="s">
        <v>54</v>
      </c>
      <c r="M12" s="61" t="s">
        <v>45</v>
      </c>
      <c r="N12" s="61" t="s">
        <v>35</v>
      </c>
      <c r="P12" s="44"/>
      <c r="Q12" s="761" t="s">
        <v>196</v>
      </c>
      <c r="R12" s="761"/>
      <c r="S12" s="761"/>
      <c r="T12" s="761"/>
      <c r="U12" s="761"/>
      <c r="V12" s="761"/>
      <c r="W12" s="761"/>
      <c r="X12" s="761"/>
      <c r="Y12" s="761"/>
      <c r="Z12" s="761"/>
      <c r="AA12" s="762"/>
      <c r="AB12" s="59"/>
    </row>
    <row r="13" spans="2:28" ht="16.5">
      <c r="B13" s="61" t="s">
        <v>85</v>
      </c>
      <c r="C13" s="61" t="s">
        <v>105</v>
      </c>
      <c r="D13" s="61" t="s">
        <v>114</v>
      </c>
      <c r="E13" s="61" t="s">
        <v>122</v>
      </c>
      <c r="F13" s="61" t="s">
        <v>130</v>
      </c>
      <c r="G13" s="61" t="s">
        <v>137</v>
      </c>
      <c r="H13" s="61" t="s">
        <v>143</v>
      </c>
      <c r="I13" s="61" t="s">
        <v>148</v>
      </c>
      <c r="J13" s="61" t="s">
        <v>152</v>
      </c>
      <c r="K13" s="61" t="s">
        <v>155</v>
      </c>
      <c r="L13" s="179">
        <v>44</v>
      </c>
      <c r="M13" s="61" t="s">
        <v>46</v>
      </c>
      <c r="N13" s="61" t="s">
        <v>36</v>
      </c>
      <c r="P13" s="65"/>
      <c r="Q13" s="761" t="s">
        <v>197</v>
      </c>
      <c r="R13" s="761"/>
      <c r="S13" s="761"/>
      <c r="T13" s="761"/>
      <c r="U13" s="761"/>
      <c r="V13" s="761"/>
      <c r="W13" s="761"/>
      <c r="X13" s="761"/>
      <c r="Y13" s="761"/>
      <c r="Z13" s="761"/>
      <c r="AA13" s="762"/>
      <c r="AB13" s="59"/>
    </row>
    <row r="14" spans="2:28" ht="17.25" thickBot="1">
      <c r="B14" s="61" t="s">
        <v>86</v>
      </c>
      <c r="C14" s="61" t="s">
        <v>106</v>
      </c>
      <c r="D14" s="61" t="s">
        <v>115</v>
      </c>
      <c r="E14" s="61" t="s">
        <v>123</v>
      </c>
      <c r="F14" s="61" t="s">
        <v>131</v>
      </c>
      <c r="G14" s="61" t="s">
        <v>138</v>
      </c>
      <c r="H14" s="61" t="s">
        <v>144</v>
      </c>
      <c r="I14" s="61" t="s">
        <v>149</v>
      </c>
      <c r="J14" s="61" t="s">
        <v>153</v>
      </c>
      <c r="K14" s="61" t="s">
        <v>156</v>
      </c>
      <c r="L14" s="61" t="s">
        <v>158</v>
      </c>
      <c r="M14" s="179">
        <v>33</v>
      </c>
      <c r="N14" s="61" t="s">
        <v>37</v>
      </c>
      <c r="P14" s="71"/>
      <c r="Q14" s="763" t="s">
        <v>198</v>
      </c>
      <c r="R14" s="763"/>
      <c r="S14" s="763"/>
      <c r="T14" s="763"/>
      <c r="U14" s="763"/>
      <c r="V14" s="763"/>
      <c r="W14" s="763"/>
      <c r="X14" s="763"/>
      <c r="Y14" s="763"/>
      <c r="Z14" s="763"/>
      <c r="AA14" s="764"/>
      <c r="AB14" s="59"/>
    </row>
    <row r="15" spans="2:28" ht="16.5">
      <c r="B15" s="61" t="s">
        <v>87</v>
      </c>
      <c r="C15" s="61" t="s">
        <v>107</v>
      </c>
      <c r="D15" s="61" t="s">
        <v>116</v>
      </c>
      <c r="E15" s="61" t="s">
        <v>124</v>
      </c>
      <c r="F15" s="61" t="s">
        <v>132</v>
      </c>
      <c r="G15" s="61" t="s">
        <v>139</v>
      </c>
      <c r="H15" s="61" t="s">
        <v>145</v>
      </c>
      <c r="I15" s="61" t="s">
        <v>150</v>
      </c>
      <c r="J15" s="61" t="s">
        <v>154</v>
      </c>
      <c r="K15" s="61" t="s">
        <v>157</v>
      </c>
      <c r="L15" s="61" t="s">
        <v>160</v>
      </c>
      <c r="M15" s="61" t="s">
        <v>159</v>
      </c>
      <c r="N15" s="179">
        <v>22</v>
      </c>
      <c r="P15" s="70"/>
      <c r="Q15" s="765"/>
      <c r="R15" s="765"/>
      <c r="S15" s="765"/>
      <c r="T15" s="765"/>
      <c r="U15" s="765"/>
      <c r="V15" s="765"/>
      <c r="W15" s="765"/>
      <c r="X15" s="765"/>
      <c r="Y15" s="765"/>
      <c r="Z15" s="765"/>
      <c r="AA15" s="765"/>
      <c r="AB15" s="59"/>
    </row>
    <row r="16" spans="2:28"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</row>
    <row r="22" spans="2:11">
      <c r="B22" s="1"/>
      <c r="C22" s="1"/>
      <c r="D22" s="1"/>
      <c r="E22" s="1"/>
      <c r="F22" s="1"/>
      <c r="G22" s="1"/>
      <c r="H22" s="1"/>
      <c r="I22" s="1"/>
      <c r="J22" s="1"/>
      <c r="K22" s="1"/>
    </row>
    <row r="40" spans="2:14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2:14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</sheetData>
  <mergeCells count="9">
    <mergeCell ref="Q12:AA12"/>
    <mergeCell ref="Q13:AA13"/>
    <mergeCell ref="Q14:AA14"/>
    <mergeCell ref="Q15:AA15"/>
    <mergeCell ref="B2:N2"/>
    <mergeCell ref="P2:AB2"/>
    <mergeCell ref="Q9:AA9"/>
    <mergeCell ref="Q10:AA10"/>
    <mergeCell ref="Q11:AA1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VolHJ">
                <anchor moveWithCells="1" sizeWithCells="1">
                  <from>
                    <xdr:col>15</xdr:col>
                    <xdr:colOff>0</xdr:colOff>
                    <xdr:row>5</xdr:row>
                    <xdr:rowOff>95250</xdr:rowOff>
                  </from>
                  <to>
                    <xdr:col>18</xdr:col>
                    <xdr:colOff>19050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5"/>
  <dimension ref="B1:AP50"/>
  <sheetViews>
    <sheetView showGridLines="0" showRowColHeaders="0" zoomScale="80" zoomScaleNormal="80" workbookViewId="0">
      <selection activeCell="E4" sqref="E4"/>
    </sheetView>
  </sheetViews>
  <sheetFormatPr defaultRowHeight="15"/>
  <cols>
    <col min="1" max="1" width="5.140625" customWidth="1"/>
    <col min="2" max="2" width="4.7109375" customWidth="1"/>
    <col min="3" max="3" width="4.85546875" bestFit="1" customWidth="1"/>
    <col min="4" max="4" width="4.7109375" bestFit="1" customWidth="1"/>
    <col min="5" max="5" width="4.5703125" bestFit="1" customWidth="1"/>
    <col min="6" max="6" width="4" bestFit="1" customWidth="1"/>
    <col min="7" max="14" width="4.7109375" bestFit="1" customWidth="1"/>
    <col min="15" max="15" width="2.140625" customWidth="1"/>
    <col min="16" max="16" width="4.7109375" bestFit="1" customWidth="1"/>
    <col min="17" max="17" width="4.5703125" bestFit="1" customWidth="1"/>
    <col min="18" max="20" width="4.7109375" customWidth="1"/>
    <col min="21" max="21" width="4.85546875" customWidth="1"/>
    <col min="22" max="22" width="4.28515625" bestFit="1" customWidth="1"/>
    <col min="23" max="27" width="4.7109375" customWidth="1"/>
    <col min="28" max="28" width="4.5703125" bestFit="1" customWidth="1"/>
    <col min="29" max="29" width="2" customWidth="1"/>
    <col min="30" max="42" width="4.85546875" customWidth="1"/>
    <col min="43" max="43" width="1.5703125" customWidth="1"/>
    <col min="44" max="55" width="4.85546875" customWidth="1"/>
    <col min="56" max="56" width="4.7109375" bestFit="1" customWidth="1"/>
    <col min="57" max="57" width="2" customWidth="1"/>
    <col min="58" max="60" width="5" bestFit="1" customWidth="1"/>
    <col min="61" max="61" width="4.28515625" bestFit="1" customWidth="1"/>
    <col min="62" max="64" width="4.5703125" bestFit="1" customWidth="1"/>
    <col min="65" max="70" width="4.85546875" bestFit="1" customWidth="1"/>
  </cols>
  <sheetData>
    <row r="1" spans="2:42" ht="15.75" thickBot="1"/>
    <row r="2" spans="2:42">
      <c r="B2" s="199"/>
      <c r="C2" s="200"/>
      <c r="D2" s="200"/>
      <c r="E2" s="200"/>
      <c r="F2" s="200"/>
      <c r="G2" s="201"/>
    </row>
    <row r="3" spans="2:42" ht="15.75" thickBot="1">
      <c r="B3" s="202"/>
      <c r="C3" s="203"/>
      <c r="D3" s="203"/>
      <c r="E3" s="203"/>
      <c r="F3" s="203"/>
      <c r="G3" s="204"/>
    </row>
    <row r="4" spans="2:42" ht="15.75" thickBot="1"/>
    <row r="5" spans="2:42" ht="15.75" thickBot="1">
      <c r="B5" s="216"/>
      <c r="C5" s="779" t="s">
        <v>205</v>
      </c>
      <c r="D5" s="780"/>
      <c r="E5" s="780"/>
      <c r="F5" s="780"/>
      <c r="G5" s="780"/>
      <c r="H5" s="780"/>
      <c r="I5" s="780"/>
      <c r="J5" s="780"/>
      <c r="K5" s="780"/>
      <c r="L5" s="780"/>
      <c r="M5" s="780"/>
      <c r="N5" s="781"/>
    </row>
    <row r="6" spans="2:42">
      <c r="B6" s="217"/>
      <c r="C6" s="752" t="s">
        <v>206</v>
      </c>
      <c r="D6" s="753"/>
      <c r="E6" s="753"/>
      <c r="F6" s="753"/>
      <c r="G6" s="753"/>
      <c r="H6" s="753"/>
      <c r="I6" s="753"/>
      <c r="J6" s="753"/>
      <c r="K6" s="753"/>
      <c r="L6" s="753"/>
      <c r="M6" s="753"/>
      <c r="N6" s="782"/>
      <c r="P6" s="221"/>
      <c r="Q6" s="784" t="s">
        <v>213</v>
      </c>
      <c r="R6" s="785"/>
      <c r="S6" s="785"/>
      <c r="T6" s="785"/>
      <c r="U6" s="785"/>
      <c r="V6" s="785"/>
      <c r="W6" s="785"/>
      <c r="X6" s="785"/>
      <c r="Y6" s="785"/>
      <c r="Z6" s="785"/>
      <c r="AA6" s="785"/>
      <c r="AB6" s="786"/>
    </row>
    <row r="7" spans="2:42">
      <c r="B7" s="218"/>
      <c r="C7" s="752" t="s">
        <v>207</v>
      </c>
      <c r="D7" s="753"/>
      <c r="E7" s="753"/>
      <c r="F7" s="753"/>
      <c r="G7" s="753"/>
      <c r="H7" s="753"/>
      <c r="I7" s="753"/>
      <c r="J7" s="753"/>
      <c r="K7" s="753"/>
      <c r="L7" s="753"/>
      <c r="M7" s="753"/>
      <c r="N7" s="782"/>
      <c r="P7" s="224"/>
      <c r="Q7" s="741" t="s">
        <v>214</v>
      </c>
      <c r="R7" s="742"/>
      <c r="S7" s="742"/>
      <c r="T7" s="742"/>
      <c r="U7" s="742"/>
      <c r="V7" s="742"/>
      <c r="W7" s="742"/>
      <c r="X7" s="742"/>
      <c r="Y7" s="742"/>
      <c r="Z7" s="742"/>
      <c r="AA7" s="742"/>
      <c r="AB7" s="787"/>
    </row>
    <row r="8" spans="2:42">
      <c r="B8" s="219"/>
      <c r="C8" s="755" t="s">
        <v>208</v>
      </c>
      <c r="D8" s="756"/>
      <c r="E8" s="756"/>
      <c r="F8" s="756"/>
      <c r="G8" s="756"/>
      <c r="H8" s="756"/>
      <c r="I8" s="756"/>
      <c r="J8" s="756"/>
      <c r="K8" s="756"/>
      <c r="L8" s="756"/>
      <c r="M8" s="756"/>
      <c r="N8" s="783"/>
      <c r="P8" s="225"/>
      <c r="Q8" s="741" t="s">
        <v>215</v>
      </c>
      <c r="R8" s="742"/>
      <c r="S8" s="742"/>
      <c r="T8" s="742"/>
      <c r="U8" s="742"/>
      <c r="V8" s="742"/>
      <c r="W8" s="742"/>
      <c r="X8" s="742"/>
      <c r="Y8" s="742"/>
      <c r="Z8" s="742"/>
      <c r="AA8" s="742"/>
      <c r="AB8" s="787"/>
    </row>
    <row r="9" spans="2:42">
      <c r="B9" s="220"/>
      <c r="C9" s="665" t="s">
        <v>211</v>
      </c>
      <c r="D9" s="665"/>
      <c r="E9" s="665"/>
      <c r="F9" s="665"/>
      <c r="G9" s="665"/>
      <c r="H9" s="665"/>
      <c r="I9" s="665"/>
      <c r="J9" s="665"/>
      <c r="K9" s="665"/>
      <c r="L9" s="665"/>
      <c r="M9" s="665"/>
      <c r="N9" s="666"/>
      <c r="P9" s="230"/>
      <c r="Q9" s="776" t="s">
        <v>216</v>
      </c>
      <c r="R9" s="777"/>
      <c r="S9" s="777"/>
      <c r="T9" s="777"/>
      <c r="U9" s="777"/>
      <c r="V9" s="777"/>
      <c r="W9" s="777"/>
      <c r="X9" s="777"/>
      <c r="Y9" s="777"/>
      <c r="Z9" s="777"/>
      <c r="AA9" s="777"/>
      <c r="AB9" s="778"/>
    </row>
    <row r="10" spans="2:42" ht="15.75" customHeight="1" thickBot="1">
      <c r="B10" s="505"/>
      <c r="C10" s="665" t="s">
        <v>212</v>
      </c>
      <c r="D10" s="665"/>
      <c r="E10" s="665"/>
      <c r="F10" s="665"/>
      <c r="G10" s="665"/>
      <c r="H10" s="665"/>
      <c r="I10" s="665"/>
      <c r="J10" s="665"/>
      <c r="K10" s="665"/>
      <c r="L10" s="665"/>
      <c r="M10" s="665"/>
      <c r="N10" s="666"/>
      <c r="O10" s="211"/>
      <c r="P10" s="231"/>
      <c r="Q10" s="198" t="s">
        <v>162</v>
      </c>
      <c r="R10" s="517"/>
      <c r="S10" s="517"/>
      <c r="T10" s="517"/>
      <c r="U10" s="517"/>
      <c r="V10" s="517"/>
      <c r="W10" s="517"/>
      <c r="X10" s="517"/>
      <c r="Y10" s="517"/>
      <c r="Z10" s="517"/>
      <c r="AA10" s="517"/>
      <c r="AB10" s="518"/>
    </row>
    <row r="11" spans="2:42" ht="15.75" thickBot="1">
      <c r="B11" s="210"/>
      <c r="C11" s="772" t="s">
        <v>302</v>
      </c>
      <c r="D11" s="773"/>
      <c r="E11" s="773"/>
      <c r="F11" s="773"/>
      <c r="G11" s="773"/>
      <c r="H11" s="773"/>
      <c r="I11" s="773"/>
      <c r="J11" s="773"/>
      <c r="K11" s="773"/>
      <c r="L11" s="773"/>
      <c r="M11" s="773"/>
      <c r="N11" s="774"/>
      <c r="O11" s="211"/>
      <c r="P11" s="232"/>
      <c r="Q11" s="775" t="s">
        <v>218</v>
      </c>
      <c r="R11" s="695"/>
      <c r="S11" s="695"/>
      <c r="T11" s="695"/>
      <c r="U11" s="695"/>
      <c r="V11" s="695"/>
      <c r="W11" s="695"/>
      <c r="X11" s="695"/>
      <c r="Y11" s="695"/>
      <c r="Z11" s="695"/>
      <c r="AA11" s="695"/>
      <c r="AB11" s="696"/>
    </row>
    <row r="12" spans="2:42" ht="15.75" thickBot="1"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</row>
    <row r="13" spans="2:42">
      <c r="B13" s="647" t="s">
        <v>330</v>
      </c>
      <c r="C13" s="648"/>
      <c r="D13" s="648"/>
      <c r="E13" s="648"/>
      <c r="F13" s="648"/>
      <c r="G13" s="648"/>
      <c r="H13" s="648"/>
      <c r="I13" s="648"/>
      <c r="J13" s="648"/>
      <c r="K13" s="648"/>
      <c r="L13" s="648"/>
      <c r="M13" s="648"/>
      <c r="N13" s="650"/>
      <c r="P13" s="647" t="s">
        <v>335</v>
      </c>
      <c r="Q13" s="648"/>
      <c r="R13" s="648"/>
      <c r="S13" s="648"/>
      <c r="T13" s="648"/>
      <c r="U13" s="648"/>
      <c r="V13" s="648"/>
      <c r="W13" s="648"/>
      <c r="X13" s="648"/>
      <c r="Y13" s="648"/>
      <c r="Z13" s="648"/>
      <c r="AA13" s="648"/>
      <c r="AB13" s="650"/>
      <c r="AD13" s="647" t="s">
        <v>336</v>
      </c>
      <c r="AE13" s="648"/>
      <c r="AF13" s="648"/>
      <c r="AG13" s="648"/>
      <c r="AH13" s="648"/>
      <c r="AI13" s="648"/>
      <c r="AJ13" s="648"/>
      <c r="AK13" s="648"/>
      <c r="AL13" s="648"/>
      <c r="AM13" s="648"/>
      <c r="AN13" s="648"/>
      <c r="AO13" s="648"/>
      <c r="AP13" s="650"/>
    </row>
    <row r="14" spans="2:42">
      <c r="B14" s="251" t="s">
        <v>0</v>
      </c>
      <c r="C14" s="17" t="s">
        <v>5</v>
      </c>
      <c r="D14" s="17" t="s">
        <v>6</v>
      </c>
      <c r="E14" s="36" t="s">
        <v>7</v>
      </c>
      <c r="F14" s="36" t="s">
        <v>8</v>
      </c>
      <c r="G14" s="36" t="s">
        <v>9</v>
      </c>
      <c r="H14" s="36" t="s">
        <v>10</v>
      </c>
      <c r="I14" s="90" t="s">
        <v>11</v>
      </c>
      <c r="J14" s="90" t="s">
        <v>12</v>
      </c>
      <c r="K14" s="90" t="s">
        <v>13</v>
      </c>
      <c r="L14" s="90" t="s">
        <v>14</v>
      </c>
      <c r="M14" s="90" t="s">
        <v>15</v>
      </c>
      <c r="N14" s="90" t="s">
        <v>16</v>
      </c>
      <c r="P14" s="307" t="s">
        <v>0</v>
      </c>
      <c r="Q14" s="105" t="s">
        <v>5</v>
      </c>
      <c r="R14" s="100" t="s">
        <v>6</v>
      </c>
      <c r="S14" s="102" t="s">
        <v>7</v>
      </c>
      <c r="T14" s="102" t="s">
        <v>8</v>
      </c>
      <c r="U14" s="104" t="s">
        <v>9</v>
      </c>
      <c r="V14" s="104" t="s">
        <v>10</v>
      </c>
      <c r="W14" s="104" t="s">
        <v>11</v>
      </c>
      <c r="X14" s="104" t="s">
        <v>12</v>
      </c>
      <c r="Y14" s="102" t="s">
        <v>13</v>
      </c>
      <c r="Z14" s="102" t="s">
        <v>14</v>
      </c>
      <c r="AA14" s="102" t="s">
        <v>15</v>
      </c>
      <c r="AB14" s="291" t="s">
        <v>16</v>
      </c>
      <c r="AD14" s="307" t="s">
        <v>0</v>
      </c>
      <c r="AE14" s="105" t="s">
        <v>5</v>
      </c>
      <c r="AF14" s="100" t="s">
        <v>6</v>
      </c>
      <c r="AG14" s="102" t="s">
        <v>7</v>
      </c>
      <c r="AH14" s="102" t="s">
        <v>8</v>
      </c>
      <c r="AI14" s="104" t="s">
        <v>9</v>
      </c>
      <c r="AJ14" s="104" t="s">
        <v>10</v>
      </c>
      <c r="AK14" s="104" t="s">
        <v>11</v>
      </c>
      <c r="AL14" s="104" t="s">
        <v>12</v>
      </c>
      <c r="AM14" s="102" t="s">
        <v>13</v>
      </c>
      <c r="AN14" s="102" t="s">
        <v>14</v>
      </c>
      <c r="AO14" s="102" t="s">
        <v>15</v>
      </c>
      <c r="AP14" s="317" t="s">
        <v>16</v>
      </c>
    </row>
    <row r="15" spans="2:42">
      <c r="B15" s="251" t="s">
        <v>76</v>
      </c>
      <c r="C15" s="17" t="s">
        <v>1</v>
      </c>
      <c r="D15" s="36" t="s">
        <v>95</v>
      </c>
      <c r="E15" s="17" t="s">
        <v>94</v>
      </c>
      <c r="F15" s="36" t="s">
        <v>19</v>
      </c>
      <c r="G15" s="36" t="s">
        <v>20</v>
      </c>
      <c r="H15" s="37" t="s">
        <v>21</v>
      </c>
      <c r="I15" s="37" t="s">
        <v>22</v>
      </c>
      <c r="J15" s="37" t="s">
        <v>23</v>
      </c>
      <c r="K15" s="37" t="s">
        <v>24</v>
      </c>
      <c r="L15" s="37" t="s">
        <v>25</v>
      </c>
      <c r="M15" s="37" t="s">
        <v>26</v>
      </c>
      <c r="N15" s="38" t="s">
        <v>191</v>
      </c>
      <c r="P15" s="307" t="s">
        <v>76</v>
      </c>
      <c r="Q15" s="105" t="s">
        <v>1</v>
      </c>
      <c r="R15" s="102" t="s">
        <v>95</v>
      </c>
      <c r="S15" s="102" t="s">
        <v>94</v>
      </c>
      <c r="T15" s="102" t="s">
        <v>19</v>
      </c>
      <c r="U15" s="102" t="s">
        <v>20</v>
      </c>
      <c r="V15" s="104" t="s">
        <v>21</v>
      </c>
      <c r="W15" s="104" t="s">
        <v>22</v>
      </c>
      <c r="X15" s="31" t="s">
        <v>23</v>
      </c>
      <c r="Y15" s="31" t="s">
        <v>24</v>
      </c>
      <c r="Z15" s="31" t="s">
        <v>25</v>
      </c>
      <c r="AA15" s="31" t="s">
        <v>26</v>
      </c>
      <c r="AB15" s="291" t="s">
        <v>191</v>
      </c>
      <c r="AD15" s="307" t="s">
        <v>76</v>
      </c>
      <c r="AE15" s="105" t="s">
        <v>1</v>
      </c>
      <c r="AF15" s="102" t="s">
        <v>95</v>
      </c>
      <c r="AG15" s="102" t="s">
        <v>94</v>
      </c>
      <c r="AH15" s="102" t="s">
        <v>19</v>
      </c>
      <c r="AI15" s="102" t="s">
        <v>20</v>
      </c>
      <c r="AJ15" s="104" t="s">
        <v>21</v>
      </c>
      <c r="AK15" s="104" t="s">
        <v>22</v>
      </c>
      <c r="AL15" s="31" t="s">
        <v>23</v>
      </c>
      <c r="AM15" s="31" t="s">
        <v>24</v>
      </c>
      <c r="AN15" s="31" t="s">
        <v>25</v>
      </c>
      <c r="AO15" s="31" t="s">
        <v>26</v>
      </c>
      <c r="AP15" s="291" t="s">
        <v>191</v>
      </c>
    </row>
    <row r="16" spans="2:42">
      <c r="B16" s="251" t="s">
        <v>77</v>
      </c>
      <c r="C16" s="17" t="s">
        <v>17</v>
      </c>
      <c r="D16" s="17" t="s">
        <v>2</v>
      </c>
      <c r="E16" s="36" t="s">
        <v>97</v>
      </c>
      <c r="F16" s="36" t="s">
        <v>92</v>
      </c>
      <c r="G16" s="36" t="s">
        <v>96</v>
      </c>
      <c r="H16" s="37" t="s">
        <v>73</v>
      </c>
      <c r="I16" s="37" t="s">
        <v>68</v>
      </c>
      <c r="J16" s="37" t="s">
        <v>62</v>
      </c>
      <c r="K16" s="37" t="s">
        <v>55</v>
      </c>
      <c r="L16" s="31" t="s">
        <v>47</v>
      </c>
      <c r="M16" s="31" t="s">
        <v>38</v>
      </c>
      <c r="N16" s="291" t="s">
        <v>30</v>
      </c>
      <c r="P16" s="316" t="s">
        <v>77</v>
      </c>
      <c r="Q16" s="102" t="s">
        <v>17</v>
      </c>
      <c r="R16" s="105" t="s">
        <v>2</v>
      </c>
      <c r="S16" s="102" t="s">
        <v>97</v>
      </c>
      <c r="T16" s="102" t="s">
        <v>92</v>
      </c>
      <c r="U16" s="102" t="s">
        <v>96</v>
      </c>
      <c r="V16" s="31" t="s">
        <v>73</v>
      </c>
      <c r="W16" s="31" t="s">
        <v>68</v>
      </c>
      <c r="X16" s="31" t="s">
        <v>62</v>
      </c>
      <c r="Y16" s="31" t="s">
        <v>55</v>
      </c>
      <c r="Z16" s="31" t="s">
        <v>47</v>
      </c>
      <c r="AA16" s="31" t="s">
        <v>38</v>
      </c>
      <c r="AB16" s="291" t="s">
        <v>30</v>
      </c>
      <c r="AD16" s="316" t="s">
        <v>77</v>
      </c>
      <c r="AE16" s="102" t="s">
        <v>17</v>
      </c>
      <c r="AF16" s="105" t="s">
        <v>2</v>
      </c>
      <c r="AG16" s="102" t="s">
        <v>97</v>
      </c>
      <c r="AH16" s="102" t="s">
        <v>92</v>
      </c>
      <c r="AI16" s="102" t="s">
        <v>96</v>
      </c>
      <c r="AJ16" s="31" t="s">
        <v>73</v>
      </c>
      <c r="AK16" s="31" t="s">
        <v>68</v>
      </c>
      <c r="AL16" s="31" t="s">
        <v>62</v>
      </c>
      <c r="AM16" s="31" t="s">
        <v>55</v>
      </c>
      <c r="AN16" s="31" t="s">
        <v>47</v>
      </c>
      <c r="AO16" s="31" t="s">
        <v>38</v>
      </c>
      <c r="AP16" s="291" t="s">
        <v>30</v>
      </c>
    </row>
    <row r="17" spans="2:42">
      <c r="B17" s="493" t="s">
        <v>78</v>
      </c>
      <c r="C17" s="90" t="s">
        <v>18</v>
      </c>
      <c r="D17" s="37" t="s">
        <v>93</v>
      </c>
      <c r="E17" s="17" t="s">
        <v>3</v>
      </c>
      <c r="F17" s="36" t="s">
        <v>91</v>
      </c>
      <c r="G17" s="36" t="s">
        <v>90</v>
      </c>
      <c r="H17" s="37" t="s">
        <v>74</v>
      </c>
      <c r="I17" s="37" t="s">
        <v>69</v>
      </c>
      <c r="J17" s="31" t="s">
        <v>63</v>
      </c>
      <c r="K17" s="31" t="s">
        <v>56</v>
      </c>
      <c r="L17" s="31" t="s">
        <v>48</v>
      </c>
      <c r="M17" s="31" t="s">
        <v>39</v>
      </c>
      <c r="N17" s="291" t="s">
        <v>28</v>
      </c>
      <c r="P17" s="316" t="s">
        <v>78</v>
      </c>
      <c r="Q17" s="104" t="s">
        <v>18</v>
      </c>
      <c r="R17" s="31" t="s">
        <v>93</v>
      </c>
      <c r="S17" s="105" t="s">
        <v>3</v>
      </c>
      <c r="T17" s="102" t="s">
        <v>91</v>
      </c>
      <c r="U17" s="102" t="s">
        <v>90</v>
      </c>
      <c r="V17" s="31" t="s">
        <v>74</v>
      </c>
      <c r="W17" s="31" t="s">
        <v>69</v>
      </c>
      <c r="X17" s="31" t="s">
        <v>63</v>
      </c>
      <c r="Y17" s="31" t="s">
        <v>56</v>
      </c>
      <c r="Z17" s="31" t="s">
        <v>48</v>
      </c>
      <c r="AA17" s="31" t="s">
        <v>39</v>
      </c>
      <c r="AB17" s="291" t="s">
        <v>28</v>
      </c>
      <c r="AD17" s="316" t="s">
        <v>78</v>
      </c>
      <c r="AE17" s="104" t="s">
        <v>18</v>
      </c>
      <c r="AF17" s="31" t="s">
        <v>93</v>
      </c>
      <c r="AG17" s="105" t="s">
        <v>3</v>
      </c>
      <c r="AH17" s="102" t="s">
        <v>91</v>
      </c>
      <c r="AI17" s="102" t="s">
        <v>90</v>
      </c>
      <c r="AJ17" s="31" t="s">
        <v>74</v>
      </c>
      <c r="AK17" s="31" t="s">
        <v>69</v>
      </c>
      <c r="AL17" s="31" t="s">
        <v>63</v>
      </c>
      <c r="AM17" s="31" t="s">
        <v>56</v>
      </c>
      <c r="AN17" s="31" t="s">
        <v>48</v>
      </c>
      <c r="AO17" s="31" t="s">
        <v>39</v>
      </c>
      <c r="AP17" s="291" t="s">
        <v>28</v>
      </c>
    </row>
    <row r="18" spans="2:42">
      <c r="B18" s="292" t="s">
        <v>79</v>
      </c>
      <c r="C18" s="37" t="s">
        <v>98</v>
      </c>
      <c r="D18" s="37" t="s">
        <v>99</v>
      </c>
      <c r="E18" s="37" t="s">
        <v>100</v>
      </c>
      <c r="F18" s="17" t="s">
        <v>4</v>
      </c>
      <c r="G18" s="36" t="s">
        <v>89</v>
      </c>
      <c r="H18" s="37" t="s">
        <v>75</v>
      </c>
      <c r="I18" s="37" t="s">
        <v>70</v>
      </c>
      <c r="J18" s="31" t="s">
        <v>64</v>
      </c>
      <c r="K18" s="31" t="s">
        <v>57</v>
      </c>
      <c r="L18" s="31" t="s">
        <v>49</v>
      </c>
      <c r="M18" s="31" t="s">
        <v>40</v>
      </c>
      <c r="N18" s="291" t="s">
        <v>29</v>
      </c>
      <c r="P18" s="308" t="s">
        <v>79</v>
      </c>
      <c r="Q18" s="31" t="s">
        <v>98</v>
      </c>
      <c r="R18" s="31" t="s">
        <v>99</v>
      </c>
      <c r="S18" s="31" t="s">
        <v>100</v>
      </c>
      <c r="T18" s="105" t="s">
        <v>4</v>
      </c>
      <c r="U18" s="102" t="s">
        <v>89</v>
      </c>
      <c r="V18" s="102" t="s">
        <v>75</v>
      </c>
      <c r="W18" s="31" t="s">
        <v>70</v>
      </c>
      <c r="X18" s="31" t="s">
        <v>64</v>
      </c>
      <c r="Y18" s="31" t="s">
        <v>57</v>
      </c>
      <c r="Z18" s="31" t="s">
        <v>49</v>
      </c>
      <c r="AA18" s="31" t="s">
        <v>40</v>
      </c>
      <c r="AB18" s="291" t="s">
        <v>29</v>
      </c>
      <c r="AD18" s="308" t="s">
        <v>79</v>
      </c>
      <c r="AE18" s="31" t="s">
        <v>98</v>
      </c>
      <c r="AF18" s="31" t="s">
        <v>99</v>
      </c>
      <c r="AG18" s="31" t="s">
        <v>100</v>
      </c>
      <c r="AH18" s="105" t="s">
        <v>4</v>
      </c>
      <c r="AI18" s="102" t="s">
        <v>89</v>
      </c>
      <c r="AJ18" s="102" t="s">
        <v>75</v>
      </c>
      <c r="AK18" s="31" t="s">
        <v>70</v>
      </c>
      <c r="AL18" s="31" t="s">
        <v>64</v>
      </c>
      <c r="AM18" s="31" t="s">
        <v>57</v>
      </c>
      <c r="AN18" s="31" t="s">
        <v>49</v>
      </c>
      <c r="AO18" s="31" t="s">
        <v>40</v>
      </c>
      <c r="AP18" s="291" t="s">
        <v>29</v>
      </c>
    </row>
    <row r="19" spans="2:42">
      <c r="B19" s="299" t="s">
        <v>80</v>
      </c>
      <c r="C19" s="37" t="s">
        <v>101</v>
      </c>
      <c r="D19" s="38" t="s">
        <v>109</v>
      </c>
      <c r="E19" s="38" t="s">
        <v>117</v>
      </c>
      <c r="F19" s="38" t="s">
        <v>125</v>
      </c>
      <c r="G19" s="17">
        <v>99</v>
      </c>
      <c r="H19" s="36" t="s">
        <v>88</v>
      </c>
      <c r="I19" s="37" t="s">
        <v>71</v>
      </c>
      <c r="J19" s="31" t="s">
        <v>65</v>
      </c>
      <c r="K19" s="31" t="s">
        <v>58</v>
      </c>
      <c r="L19" s="31" t="s">
        <v>50</v>
      </c>
      <c r="M19" s="31" t="s">
        <v>41</v>
      </c>
      <c r="N19" s="291" t="s">
        <v>31</v>
      </c>
      <c r="P19" s="294" t="s">
        <v>80</v>
      </c>
      <c r="Q19" s="31" t="s">
        <v>101</v>
      </c>
      <c r="R19" s="31" t="s">
        <v>109</v>
      </c>
      <c r="S19" s="31" t="s">
        <v>117</v>
      </c>
      <c r="T19" s="31" t="s">
        <v>125</v>
      </c>
      <c r="U19" s="100">
        <v>99</v>
      </c>
      <c r="V19" s="102" t="s">
        <v>88</v>
      </c>
      <c r="W19" s="31" t="s">
        <v>71</v>
      </c>
      <c r="X19" s="31" t="s">
        <v>65</v>
      </c>
      <c r="Y19" s="31" t="s">
        <v>58</v>
      </c>
      <c r="Z19" s="31" t="s">
        <v>50</v>
      </c>
      <c r="AA19" s="31" t="s">
        <v>41</v>
      </c>
      <c r="AB19" s="291" t="s">
        <v>31</v>
      </c>
      <c r="AD19" s="294" t="s">
        <v>80</v>
      </c>
      <c r="AE19" s="31" t="s">
        <v>101</v>
      </c>
      <c r="AF19" s="31" t="s">
        <v>109</v>
      </c>
      <c r="AG19" s="31" t="s">
        <v>117</v>
      </c>
      <c r="AH19" s="31" t="s">
        <v>125</v>
      </c>
      <c r="AI19" s="100">
        <v>99</v>
      </c>
      <c r="AJ19" s="102" t="s">
        <v>88</v>
      </c>
      <c r="AK19" s="31" t="s">
        <v>71</v>
      </c>
      <c r="AL19" s="31" t="s">
        <v>65</v>
      </c>
      <c r="AM19" s="31" t="s">
        <v>58</v>
      </c>
      <c r="AN19" s="31" t="s">
        <v>50</v>
      </c>
      <c r="AO19" s="31" t="s">
        <v>41</v>
      </c>
      <c r="AP19" s="291" t="s">
        <v>31</v>
      </c>
    </row>
    <row r="20" spans="2:42">
      <c r="B20" s="299" t="s">
        <v>81</v>
      </c>
      <c r="C20" s="31" t="s">
        <v>102</v>
      </c>
      <c r="D20" s="31" t="s">
        <v>110</v>
      </c>
      <c r="E20" s="31" t="s">
        <v>118</v>
      </c>
      <c r="F20" s="31" t="s">
        <v>126</v>
      </c>
      <c r="G20" s="31" t="s">
        <v>133</v>
      </c>
      <c r="H20" s="17">
        <v>88</v>
      </c>
      <c r="I20" s="36" t="s">
        <v>72</v>
      </c>
      <c r="J20" s="37" t="s">
        <v>66</v>
      </c>
      <c r="K20" s="31" t="s">
        <v>59</v>
      </c>
      <c r="L20" s="31" t="s">
        <v>51</v>
      </c>
      <c r="M20" s="31" t="s">
        <v>42</v>
      </c>
      <c r="N20" s="291" t="s">
        <v>32</v>
      </c>
      <c r="P20" s="294" t="s">
        <v>81</v>
      </c>
      <c r="Q20" s="31" t="s">
        <v>102</v>
      </c>
      <c r="R20" s="31" t="s">
        <v>73</v>
      </c>
      <c r="S20" s="31" t="s">
        <v>118</v>
      </c>
      <c r="T20" s="31" t="s">
        <v>126</v>
      </c>
      <c r="U20" s="31" t="s">
        <v>133</v>
      </c>
      <c r="V20" s="102">
        <v>88</v>
      </c>
      <c r="W20" s="102" t="s">
        <v>72</v>
      </c>
      <c r="X20" s="31" t="s">
        <v>66</v>
      </c>
      <c r="Y20" s="31" t="s">
        <v>59</v>
      </c>
      <c r="Z20" s="31" t="s">
        <v>51</v>
      </c>
      <c r="AA20" s="31" t="s">
        <v>42</v>
      </c>
      <c r="AB20" s="291" t="s">
        <v>32</v>
      </c>
      <c r="AD20" s="294" t="s">
        <v>81</v>
      </c>
      <c r="AE20" s="31" t="s">
        <v>102</v>
      </c>
      <c r="AF20" s="31" t="s">
        <v>110</v>
      </c>
      <c r="AG20" s="31" t="s">
        <v>118</v>
      </c>
      <c r="AH20" s="31" t="s">
        <v>126</v>
      </c>
      <c r="AI20" s="31" t="s">
        <v>133</v>
      </c>
      <c r="AJ20" s="102">
        <v>88</v>
      </c>
      <c r="AK20" s="102" t="s">
        <v>72</v>
      </c>
      <c r="AL20" s="31" t="s">
        <v>66</v>
      </c>
      <c r="AM20" s="31" t="s">
        <v>59</v>
      </c>
      <c r="AN20" s="31" t="s">
        <v>51</v>
      </c>
      <c r="AO20" s="31" t="s">
        <v>42</v>
      </c>
      <c r="AP20" s="291" t="s">
        <v>32</v>
      </c>
    </row>
    <row r="21" spans="2:42">
      <c r="B21" s="299" t="s">
        <v>82</v>
      </c>
      <c r="C21" s="31" t="s">
        <v>103</v>
      </c>
      <c r="D21" s="31" t="s">
        <v>111</v>
      </c>
      <c r="E21" s="31" t="s">
        <v>119</v>
      </c>
      <c r="F21" s="31" t="s">
        <v>127</v>
      </c>
      <c r="G21" s="31" t="s">
        <v>134</v>
      </c>
      <c r="H21" s="31" t="s">
        <v>140</v>
      </c>
      <c r="I21" s="82">
        <v>77</v>
      </c>
      <c r="J21" s="37" t="s">
        <v>67</v>
      </c>
      <c r="K21" s="31" t="s">
        <v>60</v>
      </c>
      <c r="L21" s="31" t="s">
        <v>52</v>
      </c>
      <c r="M21" s="31" t="s">
        <v>43</v>
      </c>
      <c r="N21" s="291" t="s">
        <v>33</v>
      </c>
      <c r="P21" s="294" t="s">
        <v>82</v>
      </c>
      <c r="Q21" s="31" t="s">
        <v>103</v>
      </c>
      <c r="R21" s="31" t="s">
        <v>111</v>
      </c>
      <c r="S21" s="31" t="s">
        <v>119</v>
      </c>
      <c r="T21" s="31" t="s">
        <v>127</v>
      </c>
      <c r="U21" s="31" t="s">
        <v>134</v>
      </c>
      <c r="V21" s="31" t="s">
        <v>140</v>
      </c>
      <c r="W21" s="102">
        <v>77</v>
      </c>
      <c r="X21" s="31" t="s">
        <v>67</v>
      </c>
      <c r="Y21" s="31" t="s">
        <v>60</v>
      </c>
      <c r="Z21" s="31" t="s">
        <v>52</v>
      </c>
      <c r="AA21" s="31" t="s">
        <v>43</v>
      </c>
      <c r="AB21" s="291" t="s">
        <v>33</v>
      </c>
      <c r="AD21" s="294" t="s">
        <v>82</v>
      </c>
      <c r="AE21" s="31" t="s">
        <v>103</v>
      </c>
      <c r="AF21" s="31" t="s">
        <v>111</v>
      </c>
      <c r="AG21" s="31" t="s">
        <v>119</v>
      </c>
      <c r="AH21" s="31" t="s">
        <v>127</v>
      </c>
      <c r="AI21" s="31" t="s">
        <v>134</v>
      </c>
      <c r="AJ21" s="31" t="s">
        <v>140</v>
      </c>
      <c r="AK21" s="102">
        <v>77</v>
      </c>
      <c r="AL21" s="102" t="s">
        <v>67</v>
      </c>
      <c r="AM21" s="31" t="s">
        <v>60</v>
      </c>
      <c r="AN21" s="31" t="s">
        <v>52</v>
      </c>
      <c r="AO21" s="31" t="s">
        <v>43</v>
      </c>
      <c r="AP21" s="291" t="s">
        <v>33</v>
      </c>
    </row>
    <row r="22" spans="2:42">
      <c r="B22" s="299" t="s">
        <v>83</v>
      </c>
      <c r="C22" s="31" t="s">
        <v>108</v>
      </c>
      <c r="D22" s="31" t="s">
        <v>112</v>
      </c>
      <c r="E22" s="31" t="s">
        <v>120</v>
      </c>
      <c r="F22" s="31" t="s">
        <v>128</v>
      </c>
      <c r="G22" s="31" t="s">
        <v>135</v>
      </c>
      <c r="H22" s="31" t="s">
        <v>141</v>
      </c>
      <c r="I22" s="31" t="s">
        <v>146</v>
      </c>
      <c r="J22" s="82">
        <v>66</v>
      </c>
      <c r="K22" s="37" t="s">
        <v>61</v>
      </c>
      <c r="L22" s="31" t="s">
        <v>53</v>
      </c>
      <c r="M22" s="31" t="s">
        <v>44</v>
      </c>
      <c r="N22" s="291" t="s">
        <v>34</v>
      </c>
      <c r="P22" s="294" t="s">
        <v>83</v>
      </c>
      <c r="Q22" s="31" t="s">
        <v>108</v>
      </c>
      <c r="R22" s="31" t="s">
        <v>112</v>
      </c>
      <c r="S22" s="31" t="s">
        <v>120</v>
      </c>
      <c r="T22" s="31" t="s">
        <v>128</v>
      </c>
      <c r="U22" s="31" t="s">
        <v>135</v>
      </c>
      <c r="V22" s="31" t="s">
        <v>141</v>
      </c>
      <c r="W22" s="31" t="s">
        <v>146</v>
      </c>
      <c r="X22" s="102">
        <v>66</v>
      </c>
      <c r="Y22" s="31" t="s">
        <v>61</v>
      </c>
      <c r="Z22" s="31" t="s">
        <v>53</v>
      </c>
      <c r="AA22" s="31" t="s">
        <v>44</v>
      </c>
      <c r="AB22" s="291" t="s">
        <v>34</v>
      </c>
      <c r="AD22" s="294" t="s">
        <v>83</v>
      </c>
      <c r="AE22" s="31" t="s">
        <v>108</v>
      </c>
      <c r="AF22" s="31" t="s">
        <v>112</v>
      </c>
      <c r="AG22" s="31" t="s">
        <v>120</v>
      </c>
      <c r="AH22" s="31" t="s">
        <v>128</v>
      </c>
      <c r="AI22" s="31" t="s">
        <v>135</v>
      </c>
      <c r="AJ22" s="31" t="s">
        <v>141</v>
      </c>
      <c r="AK22" s="31" t="s">
        <v>146</v>
      </c>
      <c r="AL22" s="102">
        <v>66</v>
      </c>
      <c r="AM22" s="102" t="s">
        <v>61</v>
      </c>
      <c r="AN22" s="31" t="s">
        <v>53</v>
      </c>
      <c r="AO22" s="31" t="s">
        <v>44</v>
      </c>
      <c r="AP22" s="291" t="s">
        <v>34</v>
      </c>
    </row>
    <row r="23" spans="2:42">
      <c r="B23" s="299" t="s">
        <v>84</v>
      </c>
      <c r="C23" s="31" t="s">
        <v>104</v>
      </c>
      <c r="D23" s="31" t="s">
        <v>113</v>
      </c>
      <c r="E23" s="31" t="s">
        <v>121</v>
      </c>
      <c r="F23" s="31" t="s">
        <v>129</v>
      </c>
      <c r="G23" s="31" t="s">
        <v>136</v>
      </c>
      <c r="H23" s="31" t="s">
        <v>142</v>
      </c>
      <c r="I23" s="31" t="s">
        <v>147</v>
      </c>
      <c r="J23" s="31" t="s">
        <v>151</v>
      </c>
      <c r="K23" s="82">
        <v>55</v>
      </c>
      <c r="L23" s="38" t="s">
        <v>54</v>
      </c>
      <c r="M23" s="31" t="s">
        <v>45</v>
      </c>
      <c r="N23" s="291" t="s">
        <v>35</v>
      </c>
      <c r="P23" s="294" t="s">
        <v>84</v>
      </c>
      <c r="Q23" s="31" t="s">
        <v>104</v>
      </c>
      <c r="R23" s="31" t="s">
        <v>113</v>
      </c>
      <c r="S23" s="31" t="s">
        <v>121</v>
      </c>
      <c r="T23" s="31" t="s">
        <v>129</v>
      </c>
      <c r="U23" s="31" t="s">
        <v>136</v>
      </c>
      <c r="V23" s="31" t="s">
        <v>142</v>
      </c>
      <c r="W23" s="31" t="s">
        <v>147</v>
      </c>
      <c r="X23" s="31" t="s">
        <v>151</v>
      </c>
      <c r="Y23" s="102">
        <v>55</v>
      </c>
      <c r="Z23" s="31" t="s">
        <v>54</v>
      </c>
      <c r="AA23" s="31" t="s">
        <v>45</v>
      </c>
      <c r="AB23" s="291" t="s">
        <v>35</v>
      </c>
      <c r="AD23" s="294" t="s">
        <v>84</v>
      </c>
      <c r="AE23" s="31" t="s">
        <v>104</v>
      </c>
      <c r="AF23" s="31" t="s">
        <v>113</v>
      </c>
      <c r="AG23" s="31" t="s">
        <v>121</v>
      </c>
      <c r="AH23" s="31" t="s">
        <v>129</v>
      </c>
      <c r="AI23" s="31" t="s">
        <v>136</v>
      </c>
      <c r="AJ23" s="31" t="s">
        <v>142</v>
      </c>
      <c r="AK23" s="31" t="s">
        <v>147</v>
      </c>
      <c r="AL23" s="31" t="s">
        <v>151</v>
      </c>
      <c r="AM23" s="102">
        <v>55</v>
      </c>
      <c r="AN23" s="111" t="s">
        <v>54</v>
      </c>
      <c r="AO23" s="31" t="s">
        <v>45</v>
      </c>
      <c r="AP23" s="291" t="s">
        <v>35</v>
      </c>
    </row>
    <row r="24" spans="2:42" ht="15.75" thickBot="1">
      <c r="B24" s="492" t="s">
        <v>85</v>
      </c>
      <c r="C24" s="31" t="s">
        <v>105</v>
      </c>
      <c r="D24" s="31" t="s">
        <v>114</v>
      </c>
      <c r="E24" s="31" t="s">
        <v>122</v>
      </c>
      <c r="F24" s="31" t="s">
        <v>130</v>
      </c>
      <c r="G24" s="31" t="s">
        <v>137</v>
      </c>
      <c r="H24" s="31" t="s">
        <v>143</v>
      </c>
      <c r="I24" s="31" t="s">
        <v>148</v>
      </c>
      <c r="J24" s="31" t="s">
        <v>152</v>
      </c>
      <c r="K24" s="31" t="s">
        <v>155</v>
      </c>
      <c r="L24" s="82">
        <v>44</v>
      </c>
      <c r="M24" s="31" t="s">
        <v>46</v>
      </c>
      <c r="N24" s="291" t="s">
        <v>36</v>
      </c>
      <c r="P24" s="294" t="s">
        <v>85</v>
      </c>
      <c r="Q24" s="31" t="s">
        <v>105</v>
      </c>
      <c r="R24" s="31" t="s">
        <v>114</v>
      </c>
      <c r="S24" s="31" t="s">
        <v>122</v>
      </c>
      <c r="T24" s="31" t="s">
        <v>130</v>
      </c>
      <c r="U24" s="31" t="s">
        <v>137</v>
      </c>
      <c r="V24" s="31" t="s">
        <v>143</v>
      </c>
      <c r="W24" s="31" t="s">
        <v>148</v>
      </c>
      <c r="X24" s="31" t="s">
        <v>152</v>
      </c>
      <c r="Y24" s="31" t="s">
        <v>155</v>
      </c>
      <c r="Z24" s="102">
        <v>44</v>
      </c>
      <c r="AA24" s="31" t="s">
        <v>46</v>
      </c>
      <c r="AB24" s="291" t="s">
        <v>36</v>
      </c>
      <c r="AD24" s="294" t="s">
        <v>85</v>
      </c>
      <c r="AE24" s="31" t="s">
        <v>105</v>
      </c>
      <c r="AF24" s="31" t="s">
        <v>114</v>
      </c>
      <c r="AG24" s="31" t="s">
        <v>122</v>
      </c>
      <c r="AH24" s="31" t="s">
        <v>130</v>
      </c>
      <c r="AI24" s="31" t="s">
        <v>137</v>
      </c>
      <c r="AJ24" s="31" t="s">
        <v>143</v>
      </c>
      <c r="AK24" s="31" t="s">
        <v>148</v>
      </c>
      <c r="AL24" s="31" t="s">
        <v>152</v>
      </c>
      <c r="AM24" s="31" t="s">
        <v>155</v>
      </c>
      <c r="AN24" s="102">
        <v>44</v>
      </c>
      <c r="AO24" s="31" t="s">
        <v>46</v>
      </c>
      <c r="AP24" s="291" t="s">
        <v>36</v>
      </c>
    </row>
    <row r="25" spans="2:42">
      <c r="B25" s="294" t="s">
        <v>86</v>
      </c>
      <c r="C25" s="31" t="s">
        <v>106</v>
      </c>
      <c r="D25" s="31" t="s">
        <v>115</v>
      </c>
      <c r="E25" s="31" t="s">
        <v>123</v>
      </c>
      <c r="F25" s="31" t="s">
        <v>131</v>
      </c>
      <c r="G25" s="31" t="s">
        <v>138</v>
      </c>
      <c r="H25" s="31" t="s">
        <v>144</v>
      </c>
      <c r="I25" s="31" t="s">
        <v>149</v>
      </c>
      <c r="J25" s="31" t="s">
        <v>153</v>
      </c>
      <c r="K25" s="31" t="s">
        <v>156</v>
      </c>
      <c r="L25" s="31" t="s">
        <v>158</v>
      </c>
      <c r="M25" s="38">
        <v>33</v>
      </c>
      <c r="N25" s="291" t="s">
        <v>37</v>
      </c>
      <c r="P25" s="294" t="s">
        <v>86</v>
      </c>
      <c r="Q25" s="31" t="s">
        <v>106</v>
      </c>
      <c r="R25" s="31" t="s">
        <v>115</v>
      </c>
      <c r="S25" s="31" t="s">
        <v>123</v>
      </c>
      <c r="T25" s="31" t="s">
        <v>131</v>
      </c>
      <c r="U25" s="31" t="s">
        <v>138</v>
      </c>
      <c r="V25" s="31" t="s">
        <v>144</v>
      </c>
      <c r="W25" s="31" t="s">
        <v>149</v>
      </c>
      <c r="X25" s="31" t="s">
        <v>153</v>
      </c>
      <c r="Y25" s="31" t="s">
        <v>156</v>
      </c>
      <c r="Z25" s="31" t="s">
        <v>158</v>
      </c>
      <c r="AA25" s="31">
        <v>33</v>
      </c>
      <c r="AB25" s="291" t="s">
        <v>37</v>
      </c>
      <c r="AD25" s="294" t="s">
        <v>86</v>
      </c>
      <c r="AE25" s="31" t="s">
        <v>106</v>
      </c>
      <c r="AF25" s="31" t="s">
        <v>115</v>
      </c>
      <c r="AG25" s="31" t="s">
        <v>123</v>
      </c>
      <c r="AH25" s="31" t="s">
        <v>131</v>
      </c>
      <c r="AI25" s="31" t="s">
        <v>138</v>
      </c>
      <c r="AJ25" s="31" t="s">
        <v>144</v>
      </c>
      <c r="AK25" s="31" t="s">
        <v>149</v>
      </c>
      <c r="AL25" s="31" t="s">
        <v>153</v>
      </c>
      <c r="AM25" s="31" t="s">
        <v>156</v>
      </c>
      <c r="AN25" s="31" t="s">
        <v>158</v>
      </c>
      <c r="AO25" s="102">
        <v>33</v>
      </c>
      <c r="AP25" s="291" t="s">
        <v>37</v>
      </c>
    </row>
    <row r="26" spans="2:42" ht="15.75" thickBot="1">
      <c r="B26" s="295" t="s">
        <v>87</v>
      </c>
      <c r="C26" s="296" t="s">
        <v>107</v>
      </c>
      <c r="D26" s="296" t="s">
        <v>116</v>
      </c>
      <c r="E26" s="296" t="s">
        <v>124</v>
      </c>
      <c r="F26" s="296" t="s">
        <v>132</v>
      </c>
      <c r="G26" s="296" t="s">
        <v>139</v>
      </c>
      <c r="H26" s="296" t="s">
        <v>145</v>
      </c>
      <c r="I26" s="296" t="s">
        <v>150</v>
      </c>
      <c r="J26" s="296" t="s">
        <v>154</v>
      </c>
      <c r="K26" s="296" t="s">
        <v>157</v>
      </c>
      <c r="L26" s="296" t="s">
        <v>160</v>
      </c>
      <c r="M26" s="296" t="s">
        <v>159</v>
      </c>
      <c r="N26" s="38">
        <v>22</v>
      </c>
      <c r="P26" s="295" t="s">
        <v>87</v>
      </c>
      <c r="Q26" s="296" t="s">
        <v>107</v>
      </c>
      <c r="R26" s="296" t="s">
        <v>116</v>
      </c>
      <c r="S26" s="296" t="s">
        <v>124</v>
      </c>
      <c r="T26" s="296" t="s">
        <v>132</v>
      </c>
      <c r="U26" s="296" t="s">
        <v>139</v>
      </c>
      <c r="V26" s="296" t="s">
        <v>145</v>
      </c>
      <c r="W26" s="296" t="s">
        <v>150</v>
      </c>
      <c r="X26" s="296" t="s">
        <v>154</v>
      </c>
      <c r="Y26" s="296" t="s">
        <v>157</v>
      </c>
      <c r="Z26" s="296" t="s">
        <v>160</v>
      </c>
      <c r="AA26" s="296" t="s">
        <v>159</v>
      </c>
      <c r="AB26" s="297">
        <v>22</v>
      </c>
      <c r="AD26" s="295" t="s">
        <v>87</v>
      </c>
      <c r="AE26" s="296" t="s">
        <v>107</v>
      </c>
      <c r="AF26" s="296" t="s">
        <v>116</v>
      </c>
      <c r="AG26" s="296" t="s">
        <v>124</v>
      </c>
      <c r="AH26" s="296" t="s">
        <v>132</v>
      </c>
      <c r="AI26" s="296" t="s">
        <v>139</v>
      </c>
      <c r="AJ26" s="296" t="s">
        <v>145</v>
      </c>
      <c r="AK26" s="296" t="s">
        <v>150</v>
      </c>
      <c r="AL26" s="296" t="s">
        <v>154</v>
      </c>
      <c r="AM26" s="296" t="s">
        <v>157</v>
      </c>
      <c r="AN26" s="296" t="s">
        <v>160</v>
      </c>
      <c r="AO26" s="296" t="s">
        <v>159</v>
      </c>
      <c r="AP26" s="318">
        <v>22</v>
      </c>
    </row>
    <row r="27" spans="2:42" ht="15.75" thickBot="1"/>
    <row r="28" spans="2:42">
      <c r="B28" s="647" t="s">
        <v>331</v>
      </c>
      <c r="C28" s="648"/>
      <c r="D28" s="648"/>
      <c r="E28" s="648"/>
      <c r="F28" s="648"/>
      <c r="G28" s="648"/>
      <c r="H28" s="648"/>
      <c r="I28" s="648"/>
      <c r="J28" s="648"/>
      <c r="K28" s="648"/>
      <c r="L28" s="648"/>
      <c r="M28" s="648"/>
      <c r="N28" s="650"/>
      <c r="P28" s="647" t="s">
        <v>337</v>
      </c>
      <c r="Q28" s="648"/>
      <c r="R28" s="648"/>
      <c r="S28" s="648"/>
      <c r="T28" s="648"/>
      <c r="U28" s="648"/>
      <c r="V28" s="648"/>
      <c r="W28" s="648"/>
      <c r="X28" s="648"/>
      <c r="Y28" s="648"/>
      <c r="Z28" s="648"/>
      <c r="AA28" s="648"/>
      <c r="AB28" s="650"/>
      <c r="AD28" s="647" t="s">
        <v>338</v>
      </c>
      <c r="AE28" s="648"/>
      <c r="AF28" s="648"/>
      <c r="AG28" s="648"/>
      <c r="AH28" s="648"/>
      <c r="AI28" s="648"/>
      <c r="AJ28" s="648"/>
      <c r="AK28" s="648"/>
      <c r="AL28" s="648"/>
      <c r="AM28" s="648"/>
      <c r="AN28" s="648"/>
      <c r="AO28" s="648"/>
      <c r="AP28" s="650"/>
    </row>
    <row r="29" spans="2:42">
      <c r="B29" s="251" t="s">
        <v>0</v>
      </c>
      <c r="C29" s="17" t="s">
        <v>5</v>
      </c>
      <c r="D29" s="17" t="s">
        <v>6</v>
      </c>
      <c r="E29" s="17" t="s">
        <v>7</v>
      </c>
      <c r="F29" s="92" t="s">
        <v>8</v>
      </c>
      <c r="G29" s="36" t="s">
        <v>9</v>
      </c>
      <c r="H29" s="36" t="s">
        <v>10</v>
      </c>
      <c r="I29" s="36" t="s">
        <v>11</v>
      </c>
      <c r="J29" s="36" t="s">
        <v>12</v>
      </c>
      <c r="K29" s="36" t="s">
        <v>13</v>
      </c>
      <c r="L29" s="36" t="s">
        <v>14</v>
      </c>
      <c r="M29" s="36" t="s">
        <v>15</v>
      </c>
      <c r="N29" s="301" t="s">
        <v>16</v>
      </c>
      <c r="P29" s="307" t="s">
        <v>0</v>
      </c>
      <c r="Q29" s="105" t="s">
        <v>5</v>
      </c>
      <c r="R29" s="105" t="s">
        <v>6</v>
      </c>
      <c r="S29" s="102" t="s">
        <v>7</v>
      </c>
      <c r="T29" s="102" t="s">
        <v>8</v>
      </c>
      <c r="U29" s="104" t="s">
        <v>9</v>
      </c>
      <c r="V29" s="104" t="s">
        <v>10</v>
      </c>
      <c r="W29" s="104" t="s">
        <v>11</v>
      </c>
      <c r="X29" s="104" t="s">
        <v>12</v>
      </c>
      <c r="Y29" s="102" t="s">
        <v>13</v>
      </c>
      <c r="Z29" s="102" t="s">
        <v>14</v>
      </c>
      <c r="AA29" s="102" t="s">
        <v>15</v>
      </c>
      <c r="AB29" s="317" t="s">
        <v>16</v>
      </c>
      <c r="AD29" s="307" t="s">
        <v>0</v>
      </c>
      <c r="AE29" s="105" t="s">
        <v>5</v>
      </c>
      <c r="AF29" s="105" t="s">
        <v>6</v>
      </c>
      <c r="AG29" s="105" t="s">
        <v>7</v>
      </c>
      <c r="AH29" s="102" t="s">
        <v>8</v>
      </c>
      <c r="AI29" s="104" t="s">
        <v>9</v>
      </c>
      <c r="AJ29" s="104" t="s">
        <v>10</v>
      </c>
      <c r="AK29" s="104" t="s">
        <v>11</v>
      </c>
      <c r="AL29" s="104" t="s">
        <v>12</v>
      </c>
      <c r="AM29" s="104" t="s">
        <v>13</v>
      </c>
      <c r="AN29" s="102" t="s">
        <v>14</v>
      </c>
      <c r="AO29" s="102" t="s">
        <v>15</v>
      </c>
      <c r="AP29" s="317" t="s">
        <v>16</v>
      </c>
    </row>
    <row r="30" spans="2:42">
      <c r="B30" s="251" t="s">
        <v>76</v>
      </c>
      <c r="C30" s="17" t="s">
        <v>1</v>
      </c>
      <c r="D30" s="92" t="s">
        <v>95</v>
      </c>
      <c r="E30" s="17" t="s">
        <v>94</v>
      </c>
      <c r="F30" s="36" t="s">
        <v>19</v>
      </c>
      <c r="G30" s="36" t="s">
        <v>20</v>
      </c>
      <c r="H30" s="36" t="s">
        <v>21</v>
      </c>
      <c r="I30" s="36" t="s">
        <v>22</v>
      </c>
      <c r="J30" s="90" t="s">
        <v>23</v>
      </c>
      <c r="K30" s="90" t="s">
        <v>24</v>
      </c>
      <c r="L30" s="37" t="s">
        <v>25</v>
      </c>
      <c r="M30" s="37" t="s">
        <v>26</v>
      </c>
      <c r="N30" s="298" t="s">
        <v>191</v>
      </c>
      <c r="P30" s="307" t="s">
        <v>76</v>
      </c>
      <c r="Q30" s="105" t="s">
        <v>1</v>
      </c>
      <c r="R30" s="102" t="s">
        <v>95</v>
      </c>
      <c r="S30" s="102" t="s">
        <v>94</v>
      </c>
      <c r="T30" s="102" t="s">
        <v>19</v>
      </c>
      <c r="U30" s="102" t="s">
        <v>20</v>
      </c>
      <c r="V30" s="104" t="s">
        <v>21</v>
      </c>
      <c r="W30" s="104" t="s">
        <v>22</v>
      </c>
      <c r="X30" s="104" t="s">
        <v>23</v>
      </c>
      <c r="Y30" s="113" t="s">
        <v>24</v>
      </c>
      <c r="Z30" s="31" t="s">
        <v>25</v>
      </c>
      <c r="AA30" s="31" t="s">
        <v>26</v>
      </c>
      <c r="AB30" s="291" t="s">
        <v>191</v>
      </c>
      <c r="AD30" s="307" t="s">
        <v>76</v>
      </c>
      <c r="AE30" s="105" t="s">
        <v>1</v>
      </c>
      <c r="AF30" s="100" t="s">
        <v>95</v>
      </c>
      <c r="AG30" s="102" t="s">
        <v>94</v>
      </c>
      <c r="AH30" s="102" t="s">
        <v>19</v>
      </c>
      <c r="AI30" s="102" t="s">
        <v>20</v>
      </c>
      <c r="AJ30" s="104" t="s">
        <v>21</v>
      </c>
      <c r="AK30" s="104" t="s">
        <v>22</v>
      </c>
      <c r="AL30" s="104" t="s">
        <v>23</v>
      </c>
      <c r="AM30" s="104" t="s">
        <v>24</v>
      </c>
      <c r="AN30" s="31" t="s">
        <v>25</v>
      </c>
      <c r="AO30" s="31" t="s">
        <v>26</v>
      </c>
      <c r="AP30" s="291" t="s">
        <v>191</v>
      </c>
    </row>
    <row r="31" spans="2:42">
      <c r="B31" s="251" t="s">
        <v>77</v>
      </c>
      <c r="C31" s="92" t="s">
        <v>17</v>
      </c>
      <c r="D31" s="17" t="s">
        <v>2</v>
      </c>
      <c r="E31" s="36" t="s">
        <v>97</v>
      </c>
      <c r="F31" s="36" t="s">
        <v>92</v>
      </c>
      <c r="G31" s="36" t="s">
        <v>96</v>
      </c>
      <c r="H31" s="36" t="s">
        <v>73</v>
      </c>
      <c r="I31" s="37" t="s">
        <v>68</v>
      </c>
      <c r="J31" s="37" t="s">
        <v>62</v>
      </c>
      <c r="K31" s="37" t="s">
        <v>55</v>
      </c>
      <c r="L31" s="37" t="s">
        <v>47</v>
      </c>
      <c r="M31" s="37" t="s">
        <v>38</v>
      </c>
      <c r="N31" s="298" t="s">
        <v>30</v>
      </c>
      <c r="O31" s="1"/>
      <c r="P31" s="319" t="s">
        <v>77</v>
      </c>
      <c r="Q31" s="102" t="s">
        <v>17</v>
      </c>
      <c r="R31" s="105" t="s">
        <v>2</v>
      </c>
      <c r="S31" s="102" t="s">
        <v>97</v>
      </c>
      <c r="T31" s="102" t="s">
        <v>92</v>
      </c>
      <c r="U31" s="102" t="s">
        <v>96</v>
      </c>
      <c r="V31" s="31" t="s">
        <v>73</v>
      </c>
      <c r="W31" s="31" t="s">
        <v>68</v>
      </c>
      <c r="X31" s="31" t="s">
        <v>62</v>
      </c>
      <c r="Y31" s="31" t="s">
        <v>55</v>
      </c>
      <c r="Z31" s="31" t="s">
        <v>47</v>
      </c>
      <c r="AA31" s="31" t="s">
        <v>38</v>
      </c>
      <c r="AB31" s="291" t="s">
        <v>30</v>
      </c>
      <c r="AD31" s="307" t="s">
        <v>77</v>
      </c>
      <c r="AE31" s="102" t="s">
        <v>17</v>
      </c>
      <c r="AF31" s="105" t="s">
        <v>2</v>
      </c>
      <c r="AG31" s="102" t="s">
        <v>97</v>
      </c>
      <c r="AH31" s="102" t="s">
        <v>92</v>
      </c>
      <c r="AI31" s="102" t="s">
        <v>96</v>
      </c>
      <c r="AJ31" s="104" t="s">
        <v>73</v>
      </c>
      <c r="AK31" s="31" t="s">
        <v>68</v>
      </c>
      <c r="AL31" s="31" t="s">
        <v>62</v>
      </c>
      <c r="AM31" s="31" t="s">
        <v>55</v>
      </c>
      <c r="AN31" s="31" t="s">
        <v>47</v>
      </c>
      <c r="AO31" s="31" t="s">
        <v>38</v>
      </c>
      <c r="AP31" s="291" t="s">
        <v>30</v>
      </c>
    </row>
    <row r="32" spans="2:42">
      <c r="B32" s="251" t="s">
        <v>78</v>
      </c>
      <c r="C32" s="36" t="s">
        <v>18</v>
      </c>
      <c r="D32" s="90" t="s">
        <v>93</v>
      </c>
      <c r="E32" s="17" t="s">
        <v>3</v>
      </c>
      <c r="F32" s="36" t="s">
        <v>91</v>
      </c>
      <c r="G32" s="36" t="s">
        <v>90</v>
      </c>
      <c r="H32" s="36" t="s">
        <v>74</v>
      </c>
      <c r="I32" s="37" t="s">
        <v>69</v>
      </c>
      <c r="J32" s="37" t="s">
        <v>63</v>
      </c>
      <c r="K32" s="37" t="s">
        <v>56</v>
      </c>
      <c r="L32" s="501" t="s">
        <v>48</v>
      </c>
      <c r="M32" s="501" t="s">
        <v>39</v>
      </c>
      <c r="N32" s="502" t="s">
        <v>28</v>
      </c>
      <c r="P32" s="316" t="s">
        <v>78</v>
      </c>
      <c r="Q32" s="104" t="s">
        <v>18</v>
      </c>
      <c r="R32" s="31" t="s">
        <v>93</v>
      </c>
      <c r="S32" s="105" t="s">
        <v>3</v>
      </c>
      <c r="T32" s="102" t="s">
        <v>91</v>
      </c>
      <c r="U32" s="102" t="s">
        <v>90</v>
      </c>
      <c r="V32" s="31" t="s">
        <v>74</v>
      </c>
      <c r="W32" s="31" t="s">
        <v>69</v>
      </c>
      <c r="X32" s="31" t="s">
        <v>63</v>
      </c>
      <c r="Y32" s="31" t="s">
        <v>56</v>
      </c>
      <c r="Z32" s="31" t="s">
        <v>48</v>
      </c>
      <c r="AA32" s="31" t="s">
        <v>39</v>
      </c>
      <c r="AB32" s="291" t="s">
        <v>28</v>
      </c>
      <c r="AD32" s="316" t="s">
        <v>78</v>
      </c>
      <c r="AE32" s="102" t="s">
        <v>18</v>
      </c>
      <c r="AF32" s="102" t="s">
        <v>93</v>
      </c>
      <c r="AG32" s="105" t="s">
        <v>3</v>
      </c>
      <c r="AH32" s="102" t="s">
        <v>91</v>
      </c>
      <c r="AI32" s="102" t="s">
        <v>90</v>
      </c>
      <c r="AJ32" s="104" t="s">
        <v>74</v>
      </c>
      <c r="AK32" s="31" t="s">
        <v>69</v>
      </c>
      <c r="AL32" s="31" t="s">
        <v>63</v>
      </c>
      <c r="AM32" s="31" t="s">
        <v>56</v>
      </c>
      <c r="AN32" s="31" t="s">
        <v>48</v>
      </c>
      <c r="AO32" s="31" t="s">
        <v>39</v>
      </c>
      <c r="AP32" s="291" t="s">
        <v>28</v>
      </c>
    </row>
    <row r="33" spans="2:42">
      <c r="B33" s="302" t="s">
        <v>79</v>
      </c>
      <c r="C33" s="90" t="s">
        <v>98</v>
      </c>
      <c r="D33" s="37" t="s">
        <v>99</v>
      </c>
      <c r="E33" s="37" t="s">
        <v>100</v>
      </c>
      <c r="F33" s="17" t="s">
        <v>4</v>
      </c>
      <c r="G33" s="36" t="s">
        <v>89</v>
      </c>
      <c r="H33" s="36" t="s">
        <v>75</v>
      </c>
      <c r="I33" s="37" t="s">
        <v>70</v>
      </c>
      <c r="J33" s="37" t="s">
        <v>64</v>
      </c>
      <c r="K33" s="496" t="s">
        <v>57</v>
      </c>
      <c r="L33" s="504" t="s">
        <v>49</v>
      </c>
      <c r="M33" s="504" t="s">
        <v>40</v>
      </c>
      <c r="N33" s="504" t="s">
        <v>29</v>
      </c>
      <c r="P33" s="308" t="s">
        <v>79</v>
      </c>
      <c r="Q33" s="31" t="s">
        <v>98</v>
      </c>
      <c r="R33" s="31" t="s">
        <v>99</v>
      </c>
      <c r="S33" s="31" t="s">
        <v>100</v>
      </c>
      <c r="T33" s="105" t="s">
        <v>4</v>
      </c>
      <c r="U33" s="102" t="s">
        <v>89</v>
      </c>
      <c r="V33" s="102" t="s">
        <v>75</v>
      </c>
      <c r="W33" s="31" t="s">
        <v>70</v>
      </c>
      <c r="X33" s="31" t="s">
        <v>64</v>
      </c>
      <c r="Y33" s="31" t="s">
        <v>57</v>
      </c>
      <c r="Z33" s="31" t="s">
        <v>49</v>
      </c>
      <c r="AA33" s="31" t="s">
        <v>40</v>
      </c>
      <c r="AB33" s="291" t="s">
        <v>29</v>
      </c>
      <c r="AD33" s="308" t="s">
        <v>79</v>
      </c>
      <c r="AE33" s="102" t="s">
        <v>98</v>
      </c>
      <c r="AF33" s="112" t="s">
        <v>99</v>
      </c>
      <c r="AG33" s="112" t="s">
        <v>100</v>
      </c>
      <c r="AH33" s="105" t="s">
        <v>4</v>
      </c>
      <c r="AI33" s="102" t="s">
        <v>89</v>
      </c>
      <c r="AJ33" s="102" t="s">
        <v>75</v>
      </c>
      <c r="AK33" s="31" t="s">
        <v>70</v>
      </c>
      <c r="AL33" s="31" t="s">
        <v>64</v>
      </c>
      <c r="AM33" s="31" t="s">
        <v>57</v>
      </c>
      <c r="AN33" s="31" t="s">
        <v>49</v>
      </c>
      <c r="AO33" s="31" t="s">
        <v>40</v>
      </c>
      <c r="AP33" s="291" t="s">
        <v>29</v>
      </c>
    </row>
    <row r="34" spans="2:42">
      <c r="B34" s="303" t="s">
        <v>80</v>
      </c>
      <c r="C34" s="37" t="s">
        <v>101</v>
      </c>
      <c r="D34" s="37" t="s">
        <v>109</v>
      </c>
      <c r="E34" s="37" t="s">
        <v>117</v>
      </c>
      <c r="F34" s="37" t="s">
        <v>125</v>
      </c>
      <c r="G34" s="17">
        <v>99</v>
      </c>
      <c r="H34" s="36" t="s">
        <v>88</v>
      </c>
      <c r="I34" s="36" t="s">
        <v>71</v>
      </c>
      <c r="J34" s="37" t="s">
        <v>65</v>
      </c>
      <c r="K34" s="37" t="s">
        <v>58</v>
      </c>
      <c r="L34" s="494" t="s">
        <v>50</v>
      </c>
      <c r="M34" s="494" t="s">
        <v>41</v>
      </c>
      <c r="N34" s="495" t="s">
        <v>31</v>
      </c>
      <c r="P34" s="294" t="s">
        <v>80</v>
      </c>
      <c r="Q34" s="31" t="s">
        <v>101</v>
      </c>
      <c r="R34" s="31" t="s">
        <v>109</v>
      </c>
      <c r="S34" s="31" t="s">
        <v>117</v>
      </c>
      <c r="T34" s="31" t="s">
        <v>125</v>
      </c>
      <c r="U34" s="105">
        <v>99</v>
      </c>
      <c r="V34" s="102" t="s">
        <v>88</v>
      </c>
      <c r="W34" s="113" t="s">
        <v>71</v>
      </c>
      <c r="X34" s="31" t="s">
        <v>65</v>
      </c>
      <c r="Y34" s="31" t="s">
        <v>58</v>
      </c>
      <c r="Z34" s="31" t="s">
        <v>50</v>
      </c>
      <c r="AA34" s="31" t="s">
        <v>41</v>
      </c>
      <c r="AB34" s="291" t="s">
        <v>31</v>
      </c>
      <c r="AD34" s="308" t="s">
        <v>80</v>
      </c>
      <c r="AE34" s="31" t="s">
        <v>101</v>
      </c>
      <c r="AF34" s="31" t="s">
        <v>109</v>
      </c>
      <c r="AG34" s="31" t="s">
        <v>117</v>
      </c>
      <c r="AH34" s="31" t="s">
        <v>125</v>
      </c>
      <c r="AI34" s="105">
        <v>99</v>
      </c>
      <c r="AJ34" s="102" t="s">
        <v>88</v>
      </c>
      <c r="AK34" s="113" t="s">
        <v>71</v>
      </c>
      <c r="AL34" s="31" t="s">
        <v>65</v>
      </c>
      <c r="AM34" s="31" t="s">
        <v>58</v>
      </c>
      <c r="AN34" s="31" t="s">
        <v>50</v>
      </c>
      <c r="AO34" s="31" t="s">
        <v>41</v>
      </c>
      <c r="AP34" s="291" t="s">
        <v>31</v>
      </c>
    </row>
    <row r="35" spans="2:42">
      <c r="B35" s="299" t="s">
        <v>81</v>
      </c>
      <c r="C35" s="37" t="s">
        <v>102</v>
      </c>
      <c r="D35" s="37" t="s">
        <v>110</v>
      </c>
      <c r="E35" s="501" t="s">
        <v>118</v>
      </c>
      <c r="F35" s="501" t="s">
        <v>126</v>
      </c>
      <c r="G35" s="501" t="s">
        <v>133</v>
      </c>
      <c r="H35" s="17">
        <v>88</v>
      </c>
      <c r="I35" s="36" t="s">
        <v>72</v>
      </c>
      <c r="J35" s="36" t="s">
        <v>66</v>
      </c>
      <c r="K35" s="37" t="s">
        <v>59</v>
      </c>
      <c r="L35" s="31" t="s">
        <v>51</v>
      </c>
      <c r="M35" s="31" t="s">
        <v>42</v>
      </c>
      <c r="N35" s="291" t="s">
        <v>32</v>
      </c>
      <c r="P35" s="294" t="s">
        <v>81</v>
      </c>
      <c r="Q35" s="31" t="s">
        <v>102</v>
      </c>
      <c r="R35" s="31" t="s">
        <v>110</v>
      </c>
      <c r="S35" s="31" t="s">
        <v>118</v>
      </c>
      <c r="T35" s="31" t="s">
        <v>126</v>
      </c>
      <c r="U35" s="31" t="s">
        <v>133</v>
      </c>
      <c r="V35" s="100">
        <v>88</v>
      </c>
      <c r="W35" s="102" t="s">
        <v>72</v>
      </c>
      <c r="X35" s="31" t="s">
        <v>66</v>
      </c>
      <c r="Y35" s="31" t="s">
        <v>59</v>
      </c>
      <c r="Z35" s="31" t="s">
        <v>51</v>
      </c>
      <c r="AA35" s="31" t="s">
        <v>42</v>
      </c>
      <c r="AB35" s="291" t="s">
        <v>32</v>
      </c>
      <c r="AD35" s="294" t="s">
        <v>81</v>
      </c>
      <c r="AE35" s="31" t="s">
        <v>102</v>
      </c>
      <c r="AF35" s="31" t="s">
        <v>110</v>
      </c>
      <c r="AG35" s="31" t="s">
        <v>118</v>
      </c>
      <c r="AH35" s="31" t="s">
        <v>126</v>
      </c>
      <c r="AI35" s="31" t="s">
        <v>133</v>
      </c>
      <c r="AJ35" s="105">
        <v>88</v>
      </c>
      <c r="AK35" s="102" t="s">
        <v>72</v>
      </c>
      <c r="AL35" s="31" t="s">
        <v>66</v>
      </c>
      <c r="AM35" s="31" t="s">
        <v>59</v>
      </c>
      <c r="AN35" s="31" t="s">
        <v>51</v>
      </c>
      <c r="AO35" s="31" t="s">
        <v>42</v>
      </c>
      <c r="AP35" s="291" t="s">
        <v>32</v>
      </c>
    </row>
    <row r="36" spans="2:42">
      <c r="B36" s="299" t="s">
        <v>82</v>
      </c>
      <c r="C36" s="37" t="s">
        <v>103</v>
      </c>
      <c r="D36" s="503" t="s">
        <v>111</v>
      </c>
      <c r="E36" s="504" t="s">
        <v>119</v>
      </c>
      <c r="F36" s="504" t="s">
        <v>127</v>
      </c>
      <c r="G36" s="504" t="s">
        <v>134</v>
      </c>
      <c r="H36" s="498" t="s">
        <v>140</v>
      </c>
      <c r="I36" s="82">
        <v>77</v>
      </c>
      <c r="J36" s="36" t="s">
        <v>67</v>
      </c>
      <c r="K36" s="36" t="s">
        <v>60</v>
      </c>
      <c r="L36" s="37" t="s">
        <v>52</v>
      </c>
      <c r="M36" s="31" t="s">
        <v>43</v>
      </c>
      <c r="N36" s="291" t="s">
        <v>33</v>
      </c>
      <c r="P36" s="294" t="s">
        <v>82</v>
      </c>
      <c r="Q36" s="31" t="s">
        <v>103</v>
      </c>
      <c r="R36" s="31" t="s">
        <v>111</v>
      </c>
      <c r="S36" s="31" t="s">
        <v>119</v>
      </c>
      <c r="T36" s="31" t="s">
        <v>127</v>
      </c>
      <c r="U36" s="31" t="s">
        <v>134</v>
      </c>
      <c r="V36" s="31" t="s">
        <v>140</v>
      </c>
      <c r="W36" s="102">
        <v>77</v>
      </c>
      <c r="X36" s="102" t="s">
        <v>67</v>
      </c>
      <c r="Y36" s="31" t="s">
        <v>60</v>
      </c>
      <c r="Z36" s="31" t="s">
        <v>52</v>
      </c>
      <c r="AA36" s="31" t="s">
        <v>43</v>
      </c>
      <c r="AB36" s="291" t="s">
        <v>33</v>
      </c>
      <c r="AD36" s="294" t="s">
        <v>82</v>
      </c>
      <c r="AE36" s="31" t="s">
        <v>103</v>
      </c>
      <c r="AF36" s="31" t="s">
        <v>111</v>
      </c>
      <c r="AG36" s="31" t="s">
        <v>119</v>
      </c>
      <c r="AH36" s="31" t="s">
        <v>127</v>
      </c>
      <c r="AI36" s="31" t="s">
        <v>134</v>
      </c>
      <c r="AJ36" s="31" t="s">
        <v>140</v>
      </c>
      <c r="AK36" s="100">
        <v>77</v>
      </c>
      <c r="AL36" s="102" t="s">
        <v>67</v>
      </c>
      <c r="AM36" s="31" t="s">
        <v>60</v>
      </c>
      <c r="AN36" s="31" t="s">
        <v>52</v>
      </c>
      <c r="AO36" s="31" t="s">
        <v>43</v>
      </c>
      <c r="AP36" s="291" t="s">
        <v>33</v>
      </c>
    </row>
    <row r="37" spans="2:42">
      <c r="B37" s="299" t="s">
        <v>83</v>
      </c>
      <c r="C37" s="503" t="s">
        <v>108</v>
      </c>
      <c r="D37" s="504" t="s">
        <v>112</v>
      </c>
      <c r="E37" s="499" t="s">
        <v>120</v>
      </c>
      <c r="F37" s="494" t="s">
        <v>128</v>
      </c>
      <c r="G37" s="494" t="s">
        <v>135</v>
      </c>
      <c r="H37" s="31" t="s">
        <v>141</v>
      </c>
      <c r="I37" s="31" t="s">
        <v>146</v>
      </c>
      <c r="J37" s="82">
        <v>66</v>
      </c>
      <c r="K37" s="36" t="s">
        <v>61</v>
      </c>
      <c r="L37" s="90" t="s">
        <v>53</v>
      </c>
      <c r="M37" s="31" t="s">
        <v>44</v>
      </c>
      <c r="N37" s="291" t="s">
        <v>34</v>
      </c>
      <c r="P37" s="294" t="s">
        <v>83</v>
      </c>
      <c r="Q37" s="31" t="s">
        <v>108</v>
      </c>
      <c r="R37" s="31" t="s">
        <v>112</v>
      </c>
      <c r="S37" s="31" t="s">
        <v>120</v>
      </c>
      <c r="T37" s="31" t="s">
        <v>128</v>
      </c>
      <c r="U37" s="31" t="s">
        <v>135</v>
      </c>
      <c r="V37" s="31" t="s">
        <v>141</v>
      </c>
      <c r="W37" s="31" t="s">
        <v>146</v>
      </c>
      <c r="X37" s="102">
        <v>66</v>
      </c>
      <c r="Y37" s="102" t="s">
        <v>61</v>
      </c>
      <c r="Z37" s="31" t="s">
        <v>53</v>
      </c>
      <c r="AA37" s="31" t="s">
        <v>44</v>
      </c>
      <c r="AB37" s="291" t="s">
        <v>34</v>
      </c>
      <c r="AD37" s="294" t="s">
        <v>83</v>
      </c>
      <c r="AE37" s="31" t="s">
        <v>108</v>
      </c>
      <c r="AF37" s="31" t="s">
        <v>112</v>
      </c>
      <c r="AG37" s="31" t="s">
        <v>120</v>
      </c>
      <c r="AH37" s="31" t="s">
        <v>128</v>
      </c>
      <c r="AI37" s="31" t="s">
        <v>135</v>
      </c>
      <c r="AJ37" s="31" t="s">
        <v>141</v>
      </c>
      <c r="AK37" s="31" t="s">
        <v>146</v>
      </c>
      <c r="AL37" s="102">
        <v>66</v>
      </c>
      <c r="AM37" s="102" t="s">
        <v>61</v>
      </c>
      <c r="AN37" s="31" t="s">
        <v>53</v>
      </c>
      <c r="AO37" s="31" t="s">
        <v>44</v>
      </c>
      <c r="AP37" s="291" t="s">
        <v>34</v>
      </c>
    </row>
    <row r="38" spans="2:42">
      <c r="B38" s="497" t="s">
        <v>84</v>
      </c>
      <c r="C38" s="504" t="s">
        <v>104</v>
      </c>
      <c r="D38" s="499" t="s">
        <v>113</v>
      </c>
      <c r="E38" s="31" t="s">
        <v>121</v>
      </c>
      <c r="F38" s="31" t="s">
        <v>129</v>
      </c>
      <c r="G38" s="31" t="s">
        <v>136</v>
      </c>
      <c r="H38" s="31" t="s">
        <v>142</v>
      </c>
      <c r="I38" s="31" t="s">
        <v>147</v>
      </c>
      <c r="J38" s="31" t="s">
        <v>151</v>
      </c>
      <c r="K38" s="82">
        <v>55</v>
      </c>
      <c r="L38" s="36" t="s">
        <v>54</v>
      </c>
      <c r="M38" s="31" t="s">
        <v>45</v>
      </c>
      <c r="N38" s="291" t="s">
        <v>35</v>
      </c>
      <c r="P38" s="294" t="s">
        <v>84</v>
      </c>
      <c r="Q38" s="31" t="s">
        <v>104</v>
      </c>
      <c r="R38" s="31" t="s">
        <v>113</v>
      </c>
      <c r="S38" s="31" t="s">
        <v>121</v>
      </c>
      <c r="T38" s="31" t="s">
        <v>129</v>
      </c>
      <c r="U38" s="31" t="s">
        <v>136</v>
      </c>
      <c r="V38" s="31" t="s">
        <v>142</v>
      </c>
      <c r="W38" s="31" t="s">
        <v>147</v>
      </c>
      <c r="X38" s="31" t="s">
        <v>151</v>
      </c>
      <c r="Y38" s="102">
        <v>55</v>
      </c>
      <c r="Z38" s="102" t="s">
        <v>54</v>
      </c>
      <c r="AA38" s="31" t="s">
        <v>45</v>
      </c>
      <c r="AB38" s="291" t="s">
        <v>35</v>
      </c>
      <c r="AD38" s="294" t="s">
        <v>84</v>
      </c>
      <c r="AE38" s="31" t="s">
        <v>104</v>
      </c>
      <c r="AF38" s="31" t="s">
        <v>113</v>
      </c>
      <c r="AG38" s="31" t="s">
        <v>121</v>
      </c>
      <c r="AH38" s="31" t="s">
        <v>129</v>
      </c>
      <c r="AI38" s="31" t="s">
        <v>136</v>
      </c>
      <c r="AJ38" s="31" t="s">
        <v>142</v>
      </c>
      <c r="AK38" s="31" t="s">
        <v>147</v>
      </c>
      <c r="AL38" s="31" t="s">
        <v>151</v>
      </c>
      <c r="AM38" s="102">
        <v>55</v>
      </c>
      <c r="AN38" s="102" t="s">
        <v>54</v>
      </c>
      <c r="AO38" s="31" t="s">
        <v>45</v>
      </c>
      <c r="AP38" s="291" t="s">
        <v>35</v>
      </c>
    </row>
    <row r="39" spans="2:42">
      <c r="B39" s="497" t="s">
        <v>85</v>
      </c>
      <c r="C39" s="504" t="s">
        <v>105</v>
      </c>
      <c r="D39" s="500" t="s">
        <v>114</v>
      </c>
      <c r="E39" s="31" t="s">
        <v>122</v>
      </c>
      <c r="F39" s="31" t="s">
        <v>130</v>
      </c>
      <c r="G39" s="31" t="s">
        <v>137</v>
      </c>
      <c r="H39" s="31" t="s">
        <v>143</v>
      </c>
      <c r="I39" s="31" t="s">
        <v>148</v>
      </c>
      <c r="J39" s="31" t="s">
        <v>152</v>
      </c>
      <c r="K39" s="31" t="s">
        <v>155</v>
      </c>
      <c r="L39" s="82">
        <v>44</v>
      </c>
      <c r="M39" s="31" t="s">
        <v>46</v>
      </c>
      <c r="N39" s="291" t="s">
        <v>36</v>
      </c>
      <c r="P39" s="294" t="s">
        <v>85</v>
      </c>
      <c r="Q39" s="31" t="s">
        <v>105</v>
      </c>
      <c r="R39" s="31" t="s">
        <v>114</v>
      </c>
      <c r="S39" s="31" t="s">
        <v>122</v>
      </c>
      <c r="T39" s="31" t="s">
        <v>130</v>
      </c>
      <c r="U39" s="31" t="s">
        <v>137</v>
      </c>
      <c r="V39" s="31" t="s">
        <v>143</v>
      </c>
      <c r="W39" s="31" t="s">
        <v>148</v>
      </c>
      <c r="X39" s="31" t="s">
        <v>152</v>
      </c>
      <c r="Y39" s="31" t="s">
        <v>155</v>
      </c>
      <c r="Z39" s="102">
        <v>44</v>
      </c>
      <c r="AA39" s="31" t="s">
        <v>46</v>
      </c>
      <c r="AB39" s="291" t="s">
        <v>36</v>
      </c>
      <c r="AD39" s="294" t="s">
        <v>85</v>
      </c>
      <c r="AE39" s="31" t="s">
        <v>105</v>
      </c>
      <c r="AF39" s="31" t="s">
        <v>114</v>
      </c>
      <c r="AG39" s="31" t="s">
        <v>122</v>
      </c>
      <c r="AH39" s="31" t="s">
        <v>130</v>
      </c>
      <c r="AI39" s="31" t="s">
        <v>137</v>
      </c>
      <c r="AJ39" s="31" t="s">
        <v>143</v>
      </c>
      <c r="AK39" s="31" t="s">
        <v>148</v>
      </c>
      <c r="AL39" s="31" t="s">
        <v>152</v>
      </c>
      <c r="AM39" s="31" t="s">
        <v>155</v>
      </c>
      <c r="AN39" s="102">
        <v>44</v>
      </c>
      <c r="AO39" s="31" t="s">
        <v>46</v>
      </c>
      <c r="AP39" s="291" t="s">
        <v>36</v>
      </c>
    </row>
    <row r="40" spans="2:42">
      <c r="B40" s="299" t="s">
        <v>86</v>
      </c>
      <c r="C40" s="494" t="s">
        <v>106</v>
      </c>
      <c r="D40" s="31" t="s">
        <v>115</v>
      </c>
      <c r="E40" s="31" t="s">
        <v>123</v>
      </c>
      <c r="F40" s="31" t="s">
        <v>131</v>
      </c>
      <c r="G40" s="31" t="s">
        <v>138</v>
      </c>
      <c r="H40" s="31" t="s">
        <v>144</v>
      </c>
      <c r="I40" s="31" t="s">
        <v>149</v>
      </c>
      <c r="J40" s="31" t="s">
        <v>153</v>
      </c>
      <c r="K40" s="31" t="s">
        <v>156</v>
      </c>
      <c r="L40" s="31" t="s">
        <v>158</v>
      </c>
      <c r="M40" s="82">
        <v>33</v>
      </c>
      <c r="N40" s="291" t="s">
        <v>37</v>
      </c>
      <c r="P40" s="294" t="s">
        <v>86</v>
      </c>
      <c r="Q40" s="31" t="s">
        <v>106</v>
      </c>
      <c r="R40" s="31" t="s">
        <v>115</v>
      </c>
      <c r="S40" s="31" t="s">
        <v>123</v>
      </c>
      <c r="T40" s="31" t="s">
        <v>131</v>
      </c>
      <c r="U40" s="31" t="s">
        <v>138</v>
      </c>
      <c r="V40" s="31" t="s">
        <v>144</v>
      </c>
      <c r="W40" s="31" t="s">
        <v>149</v>
      </c>
      <c r="X40" s="31" t="s">
        <v>153</v>
      </c>
      <c r="Y40" s="31" t="s">
        <v>156</v>
      </c>
      <c r="Z40" s="31" t="s">
        <v>158</v>
      </c>
      <c r="AA40" s="102">
        <v>33</v>
      </c>
      <c r="AB40" s="291" t="s">
        <v>37</v>
      </c>
      <c r="AD40" s="294" t="s">
        <v>86</v>
      </c>
      <c r="AE40" s="31" t="s">
        <v>106</v>
      </c>
      <c r="AF40" s="31" t="s">
        <v>115</v>
      </c>
      <c r="AG40" s="31" t="s">
        <v>123</v>
      </c>
      <c r="AH40" s="31" t="s">
        <v>131</v>
      </c>
      <c r="AI40" s="31" t="s">
        <v>138</v>
      </c>
      <c r="AJ40" s="31" t="s">
        <v>144</v>
      </c>
      <c r="AK40" s="31" t="s">
        <v>149</v>
      </c>
      <c r="AL40" s="31" t="s">
        <v>153</v>
      </c>
      <c r="AM40" s="31" t="s">
        <v>156</v>
      </c>
      <c r="AN40" s="31" t="s">
        <v>158</v>
      </c>
      <c r="AO40" s="102">
        <v>33</v>
      </c>
      <c r="AP40" s="291" t="s">
        <v>37</v>
      </c>
    </row>
    <row r="41" spans="2:42" ht="15.75" thickBot="1">
      <c r="B41" s="304" t="s">
        <v>87</v>
      </c>
      <c r="C41" s="296" t="s">
        <v>107</v>
      </c>
      <c r="D41" s="296" t="s">
        <v>116</v>
      </c>
      <c r="E41" s="296" t="s">
        <v>124</v>
      </c>
      <c r="F41" s="296" t="s">
        <v>132</v>
      </c>
      <c r="G41" s="296" t="s">
        <v>139</v>
      </c>
      <c r="H41" s="296" t="s">
        <v>145</v>
      </c>
      <c r="I41" s="296" t="s">
        <v>150</v>
      </c>
      <c r="J41" s="296" t="s">
        <v>154</v>
      </c>
      <c r="K41" s="296" t="s">
        <v>157</v>
      </c>
      <c r="L41" s="296" t="s">
        <v>160</v>
      </c>
      <c r="M41" s="296" t="s">
        <v>159</v>
      </c>
      <c r="N41" s="305">
        <v>22</v>
      </c>
      <c r="P41" s="295" t="s">
        <v>87</v>
      </c>
      <c r="Q41" s="296" t="s">
        <v>107</v>
      </c>
      <c r="R41" s="296" t="s">
        <v>116</v>
      </c>
      <c r="S41" s="296" t="s">
        <v>124</v>
      </c>
      <c r="T41" s="296" t="s">
        <v>132</v>
      </c>
      <c r="U41" s="296" t="s">
        <v>139</v>
      </c>
      <c r="V41" s="296" t="s">
        <v>145</v>
      </c>
      <c r="W41" s="296" t="s">
        <v>150</v>
      </c>
      <c r="X41" s="296" t="s">
        <v>154</v>
      </c>
      <c r="Y41" s="296" t="s">
        <v>157</v>
      </c>
      <c r="Z41" s="296" t="s">
        <v>160</v>
      </c>
      <c r="AA41" s="296" t="s">
        <v>159</v>
      </c>
      <c r="AB41" s="318">
        <v>22</v>
      </c>
      <c r="AD41" s="295" t="s">
        <v>87</v>
      </c>
      <c r="AE41" s="296" t="s">
        <v>107</v>
      </c>
      <c r="AF41" s="296" t="s">
        <v>116</v>
      </c>
      <c r="AG41" s="296" t="s">
        <v>124</v>
      </c>
      <c r="AH41" s="296" t="s">
        <v>132</v>
      </c>
      <c r="AI41" s="296" t="s">
        <v>139</v>
      </c>
      <c r="AJ41" s="296" t="s">
        <v>145</v>
      </c>
      <c r="AK41" s="296" t="s">
        <v>150</v>
      </c>
      <c r="AL41" s="296" t="s">
        <v>154</v>
      </c>
      <c r="AM41" s="296" t="s">
        <v>157</v>
      </c>
      <c r="AN41" s="296" t="s">
        <v>160</v>
      </c>
      <c r="AO41" s="296" t="s">
        <v>159</v>
      </c>
      <c r="AP41" s="318">
        <v>22</v>
      </c>
    </row>
    <row r="49" spans="3:1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</row>
    <row r="50" spans="3:15"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</sheetData>
  <mergeCells count="18">
    <mergeCell ref="C5:N5"/>
    <mergeCell ref="C6:N6"/>
    <mergeCell ref="C7:N7"/>
    <mergeCell ref="C8:N8"/>
    <mergeCell ref="AD13:AP13"/>
    <mergeCell ref="Q6:AB6"/>
    <mergeCell ref="Q7:AB7"/>
    <mergeCell ref="Q8:AB8"/>
    <mergeCell ref="P28:AB28"/>
    <mergeCell ref="AD28:AP28"/>
    <mergeCell ref="C9:N9"/>
    <mergeCell ref="C10:N10"/>
    <mergeCell ref="C11:N11"/>
    <mergeCell ref="B13:N13"/>
    <mergeCell ref="B28:N28"/>
    <mergeCell ref="Q11:AB11"/>
    <mergeCell ref="Q9:AB9"/>
    <mergeCell ref="P13:AB1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VolCO">
                <anchor moveWithCells="1" sizeWithCells="1">
                  <from>
                    <xdr:col>3</xdr:col>
                    <xdr:colOff>219075</xdr:colOff>
                    <xdr:row>1</xdr:row>
                    <xdr:rowOff>76200</xdr:rowOff>
                  </from>
                  <to>
                    <xdr:col>6</xdr:col>
                    <xdr:colOff>171450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6"/>
  <dimension ref="B8:AB40"/>
  <sheetViews>
    <sheetView showGridLines="0" showRowColHeaders="0" workbookViewId="0">
      <selection activeCell="B2" sqref="B2:N15"/>
    </sheetView>
  </sheetViews>
  <sheetFormatPr defaultRowHeight="15"/>
  <cols>
    <col min="1" max="1" width="5" customWidth="1"/>
    <col min="2" max="2" width="4.85546875" style="1" bestFit="1" customWidth="1"/>
    <col min="3" max="3" width="4.7109375" style="1" bestFit="1" customWidth="1"/>
    <col min="4" max="4" width="4.5703125" style="1" bestFit="1" customWidth="1"/>
    <col min="5" max="5" width="4" style="1" bestFit="1" customWidth="1"/>
    <col min="6" max="6" width="4.28515625" style="1" bestFit="1" customWidth="1"/>
    <col min="7" max="14" width="4.7109375" style="1" bestFit="1" customWidth="1"/>
    <col min="15" max="15" width="2.7109375" customWidth="1"/>
    <col min="16" max="16" width="4.85546875" bestFit="1" customWidth="1"/>
    <col min="17" max="17" width="4.7109375" bestFit="1" customWidth="1"/>
    <col min="18" max="18" width="4.5703125" bestFit="1" customWidth="1"/>
    <col min="19" max="19" width="4" bestFit="1" customWidth="1"/>
    <col min="20" max="28" width="4.28515625" bestFit="1" customWidth="1"/>
    <col min="29" max="29" width="2.7109375" customWidth="1"/>
    <col min="30" max="30" width="4.85546875" bestFit="1" customWidth="1"/>
    <col min="31" max="31" width="4.7109375" bestFit="1" customWidth="1"/>
    <col min="32" max="32" width="4.5703125" bestFit="1" customWidth="1"/>
    <col min="33" max="33" width="4" bestFit="1" customWidth="1"/>
    <col min="34" max="42" width="4.28515625" bestFit="1" customWidth="1"/>
  </cols>
  <sheetData>
    <row r="8" spans="2:28" ht="15.75" thickBot="1"/>
    <row r="9" spans="2:28">
      <c r="Q9" s="62"/>
      <c r="R9" s="770" t="s">
        <v>193</v>
      </c>
      <c r="S9" s="770"/>
      <c r="T9" s="770"/>
      <c r="U9" s="770"/>
      <c r="V9" s="770"/>
      <c r="W9" s="770"/>
      <c r="X9" s="770"/>
      <c r="Y9" s="770"/>
      <c r="Z9" s="770"/>
      <c r="AA9" s="770"/>
      <c r="AB9" s="771"/>
    </row>
    <row r="10" spans="2:28">
      <c r="Q10" s="63"/>
      <c r="R10" s="761" t="s">
        <v>194</v>
      </c>
      <c r="S10" s="761"/>
      <c r="T10" s="761"/>
      <c r="U10" s="761"/>
      <c r="V10" s="761"/>
      <c r="W10" s="761"/>
      <c r="X10" s="761"/>
      <c r="Y10" s="761"/>
      <c r="Z10" s="761"/>
      <c r="AA10" s="761"/>
      <c r="AB10" s="762"/>
    </row>
    <row r="11" spans="2:28">
      <c r="Q11" s="64"/>
      <c r="R11" s="761" t="s">
        <v>195</v>
      </c>
      <c r="S11" s="761"/>
      <c r="T11" s="761"/>
      <c r="U11" s="761"/>
      <c r="V11" s="761"/>
      <c r="W11" s="761"/>
      <c r="X11" s="761"/>
      <c r="Y11" s="761"/>
      <c r="Z11" s="761"/>
      <c r="AA11" s="761"/>
      <c r="AB11" s="762"/>
    </row>
    <row r="12" spans="2:28">
      <c r="Q12" s="44"/>
      <c r="R12" s="761" t="s">
        <v>196</v>
      </c>
      <c r="S12" s="761"/>
      <c r="T12" s="761"/>
      <c r="U12" s="761"/>
      <c r="V12" s="761"/>
      <c r="W12" s="761"/>
      <c r="X12" s="761"/>
      <c r="Y12" s="761"/>
      <c r="Z12" s="761"/>
      <c r="AA12" s="761"/>
      <c r="AB12" s="762"/>
    </row>
    <row r="13" spans="2:28">
      <c r="Q13" s="65"/>
      <c r="R13" s="761" t="s">
        <v>197</v>
      </c>
      <c r="S13" s="761"/>
      <c r="T13" s="761"/>
      <c r="U13" s="761"/>
      <c r="V13" s="761"/>
      <c r="W13" s="761"/>
      <c r="X13" s="761"/>
      <c r="Y13" s="761"/>
      <c r="Z13" s="761"/>
      <c r="AA13" s="761"/>
      <c r="AB13" s="762"/>
    </row>
    <row r="14" spans="2:28">
      <c r="Q14" s="66"/>
      <c r="R14" s="761" t="s">
        <v>198</v>
      </c>
      <c r="S14" s="761"/>
      <c r="T14" s="761"/>
      <c r="U14" s="761"/>
      <c r="V14" s="761"/>
      <c r="W14" s="761"/>
      <c r="X14" s="761"/>
      <c r="Y14" s="761"/>
      <c r="Z14" s="761"/>
      <c r="AA14" s="761"/>
      <c r="AB14" s="762"/>
    </row>
    <row r="15" spans="2:28" ht="15.75" thickBot="1">
      <c r="Q15" s="77"/>
      <c r="R15" s="763" t="s">
        <v>199</v>
      </c>
      <c r="S15" s="763"/>
      <c r="T15" s="763"/>
      <c r="U15" s="763"/>
      <c r="V15" s="763"/>
      <c r="W15" s="763"/>
      <c r="X15" s="763"/>
      <c r="Y15" s="763"/>
      <c r="Z15" s="763"/>
      <c r="AA15" s="763"/>
      <c r="AB15" s="764"/>
    </row>
    <row r="16" spans="2:28">
      <c r="B16"/>
      <c r="C16"/>
      <c r="D16"/>
      <c r="E16"/>
      <c r="F16"/>
      <c r="G16"/>
      <c r="H16"/>
      <c r="I16"/>
      <c r="J16"/>
      <c r="K16"/>
      <c r="L16"/>
      <c r="M16"/>
      <c r="N16"/>
    </row>
    <row r="17" customFormat="1"/>
    <row r="18" customFormat="1"/>
    <row r="19" customFormat="1"/>
    <row r="20" customFormat="1"/>
    <row r="21" customFormat="1"/>
    <row r="40" spans="2:14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</row>
  </sheetData>
  <mergeCells count="7">
    <mergeCell ref="R12:AB12"/>
    <mergeCell ref="R13:AB13"/>
    <mergeCell ref="R14:AB14"/>
    <mergeCell ref="R15:AB15"/>
    <mergeCell ref="R9:AB9"/>
    <mergeCell ref="R10:AB10"/>
    <mergeCell ref="R11:AB1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VolBU">
                <anchor moveWithCells="1" sizeWithCells="1">
                  <from>
                    <xdr:col>17</xdr:col>
                    <xdr:colOff>9525</xdr:colOff>
                    <xdr:row>4</xdr:row>
                    <xdr:rowOff>104775</xdr:rowOff>
                  </from>
                  <to>
                    <xdr:col>20</xdr:col>
                    <xdr:colOff>85725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7"/>
  <dimension ref="B1:AB34"/>
  <sheetViews>
    <sheetView showGridLines="0" showRowColHeaders="0" workbookViewId="0">
      <selection activeCell="AH11" sqref="AH11"/>
    </sheetView>
  </sheetViews>
  <sheetFormatPr defaultRowHeight="15"/>
  <cols>
    <col min="1" max="1" width="4.570312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14" width="4.28515625" bestFit="1" customWidth="1"/>
    <col min="15" max="15" width="4.85546875" bestFit="1" customWidth="1"/>
    <col min="16" max="16" width="4.7109375" bestFit="1" customWidth="1"/>
    <col min="17" max="17" width="4.5703125" bestFit="1" customWidth="1"/>
    <col min="18" max="18" width="4" bestFit="1" customWidth="1"/>
    <col min="19" max="28" width="4.28515625" bestFit="1" customWidth="1"/>
  </cols>
  <sheetData>
    <row r="1" spans="2:28" ht="15.75" thickBot="1"/>
    <row r="2" spans="2:28" ht="15.75" thickBot="1">
      <c r="B2" s="652"/>
      <c r="C2" s="653"/>
      <c r="D2" s="653"/>
      <c r="E2" s="653"/>
      <c r="F2" s="653"/>
      <c r="G2" s="654"/>
    </row>
    <row r="3" spans="2:28" ht="15.75" thickBot="1">
      <c r="B3" s="655"/>
      <c r="C3" s="656"/>
      <c r="D3" s="656"/>
      <c r="E3" s="656"/>
      <c r="F3" s="656"/>
      <c r="G3" s="657"/>
      <c r="X3" s="617"/>
      <c r="Y3" s="673" t="s">
        <v>351</v>
      </c>
      <c r="Z3" s="674"/>
      <c r="AA3" s="675"/>
    </row>
    <row r="4" spans="2:28" ht="15.75" thickBot="1">
      <c r="I4" s="574"/>
      <c r="J4" s="571" t="s">
        <v>346</v>
      </c>
      <c r="K4" s="575"/>
      <c r="L4" s="572" t="s">
        <v>200</v>
      </c>
      <c r="M4" s="576"/>
      <c r="N4" s="572" t="s">
        <v>347</v>
      </c>
      <c r="O4" s="577"/>
      <c r="P4" s="572" t="s">
        <v>348</v>
      </c>
      <c r="Q4" s="578"/>
      <c r="R4" s="572" t="s">
        <v>350</v>
      </c>
      <c r="S4" s="579"/>
      <c r="T4" s="572" t="s">
        <v>292</v>
      </c>
      <c r="U4" s="580"/>
      <c r="V4" s="573" t="s">
        <v>349</v>
      </c>
      <c r="X4" s="618"/>
      <c r="Y4" s="676" t="s">
        <v>352</v>
      </c>
      <c r="Z4" s="677"/>
      <c r="AA4" s="678"/>
    </row>
    <row r="5" spans="2:28" ht="15.75" thickBot="1"/>
    <row r="6" spans="2:28" ht="15.75" thickBot="1">
      <c r="B6" s="788" t="s">
        <v>353</v>
      </c>
      <c r="C6" s="789"/>
      <c r="D6" s="789"/>
      <c r="E6" s="789"/>
      <c r="F6" s="789"/>
      <c r="G6" s="789"/>
      <c r="H6" s="789"/>
      <c r="I6" s="789"/>
      <c r="J6" s="789"/>
      <c r="K6" s="789"/>
      <c r="L6" s="789"/>
      <c r="M6" s="789"/>
      <c r="N6" s="649"/>
      <c r="O6" s="43"/>
      <c r="P6" s="788" t="s">
        <v>354</v>
      </c>
      <c r="Q6" s="789"/>
      <c r="R6" s="789"/>
      <c r="S6" s="789"/>
      <c r="T6" s="789"/>
      <c r="U6" s="789"/>
      <c r="V6" s="789"/>
      <c r="W6" s="789"/>
      <c r="X6" s="789"/>
      <c r="Y6" s="789"/>
      <c r="Z6" s="789"/>
      <c r="AA6" s="789"/>
      <c r="AB6" s="649"/>
    </row>
    <row r="7" spans="2:28">
      <c r="B7" s="551" t="s">
        <v>0</v>
      </c>
      <c r="C7" s="552" t="s">
        <v>5</v>
      </c>
      <c r="D7" s="552" t="s">
        <v>6</v>
      </c>
      <c r="E7" s="552" t="s">
        <v>7</v>
      </c>
      <c r="F7" s="552" t="s">
        <v>8</v>
      </c>
      <c r="G7" s="555" t="s">
        <v>9</v>
      </c>
      <c r="H7" s="555" t="s">
        <v>10</v>
      </c>
      <c r="I7" s="555" t="s">
        <v>11</v>
      </c>
      <c r="J7" s="555" t="s">
        <v>12</v>
      </c>
      <c r="K7" s="555" t="s">
        <v>13</v>
      </c>
      <c r="L7" s="555" t="s">
        <v>14</v>
      </c>
      <c r="M7" s="555" t="s">
        <v>15</v>
      </c>
      <c r="N7" s="556" t="s">
        <v>16</v>
      </c>
      <c r="O7" s="43"/>
      <c r="P7" s="551" t="s">
        <v>0</v>
      </c>
      <c r="Q7" s="552" t="s">
        <v>5</v>
      </c>
      <c r="R7" s="552" t="s">
        <v>6</v>
      </c>
      <c r="S7" s="552" t="s">
        <v>7</v>
      </c>
      <c r="T7" s="552" t="s">
        <v>8</v>
      </c>
      <c r="U7" s="552" t="s">
        <v>9</v>
      </c>
      <c r="V7" s="589" t="s">
        <v>10</v>
      </c>
      <c r="W7" s="554" t="s">
        <v>11</v>
      </c>
      <c r="X7" s="554" t="s">
        <v>12</v>
      </c>
      <c r="Y7" s="554" t="s">
        <v>13</v>
      </c>
      <c r="Z7" s="554" t="s">
        <v>14</v>
      </c>
      <c r="AA7" s="555" t="s">
        <v>15</v>
      </c>
      <c r="AB7" s="556" t="s">
        <v>16</v>
      </c>
    </row>
    <row r="8" spans="2:28">
      <c r="B8" s="557" t="s">
        <v>76</v>
      </c>
      <c r="C8" s="558" t="s">
        <v>1</v>
      </c>
      <c r="D8" s="559" t="s">
        <v>95</v>
      </c>
      <c r="E8" s="543" t="s">
        <v>94</v>
      </c>
      <c r="F8" s="543" t="s">
        <v>19</v>
      </c>
      <c r="G8" s="543" t="s">
        <v>20</v>
      </c>
      <c r="H8" s="543" t="s">
        <v>21</v>
      </c>
      <c r="I8" s="543" t="s">
        <v>22</v>
      </c>
      <c r="J8" s="543" t="s">
        <v>23</v>
      </c>
      <c r="K8" s="543" t="s">
        <v>24</v>
      </c>
      <c r="L8" s="543" t="s">
        <v>25</v>
      </c>
      <c r="M8" s="543" t="s">
        <v>26</v>
      </c>
      <c r="N8" s="560" t="s">
        <v>191</v>
      </c>
      <c r="O8" s="43"/>
      <c r="P8" s="557" t="s">
        <v>76</v>
      </c>
      <c r="Q8" s="558" t="s">
        <v>1</v>
      </c>
      <c r="R8" s="558" t="s">
        <v>95</v>
      </c>
      <c r="S8" s="558" t="s">
        <v>94</v>
      </c>
      <c r="T8" s="619" t="s">
        <v>19</v>
      </c>
      <c r="U8" s="559" t="s">
        <v>20</v>
      </c>
      <c r="V8" s="543" t="s">
        <v>21</v>
      </c>
      <c r="W8" s="543" t="s">
        <v>22</v>
      </c>
      <c r="X8" s="543" t="s">
        <v>23</v>
      </c>
      <c r="Y8" s="543" t="s">
        <v>24</v>
      </c>
      <c r="Z8" s="543" t="s">
        <v>25</v>
      </c>
      <c r="AA8" s="543" t="s">
        <v>26</v>
      </c>
      <c r="AB8" s="560" t="s">
        <v>191</v>
      </c>
    </row>
    <row r="9" spans="2:28">
      <c r="B9" s="557" t="s">
        <v>77</v>
      </c>
      <c r="C9" s="543" t="s">
        <v>17</v>
      </c>
      <c r="D9" s="558" t="s">
        <v>2</v>
      </c>
      <c r="E9" s="543" t="s">
        <v>97</v>
      </c>
      <c r="F9" s="543" t="s">
        <v>92</v>
      </c>
      <c r="G9" s="543" t="s">
        <v>96</v>
      </c>
      <c r="H9" s="543" t="s">
        <v>73</v>
      </c>
      <c r="I9" s="543" t="s">
        <v>68</v>
      </c>
      <c r="J9" s="543" t="s">
        <v>62</v>
      </c>
      <c r="K9" s="543" t="s">
        <v>55</v>
      </c>
      <c r="L9" s="543" t="s">
        <v>47</v>
      </c>
      <c r="M9" s="543" t="s">
        <v>38</v>
      </c>
      <c r="N9" s="560" t="s">
        <v>30</v>
      </c>
      <c r="O9" s="43"/>
      <c r="P9" s="557" t="s">
        <v>77</v>
      </c>
      <c r="Q9" s="558" t="s">
        <v>17</v>
      </c>
      <c r="R9" s="558" t="s">
        <v>2</v>
      </c>
      <c r="S9" s="602" t="s">
        <v>97</v>
      </c>
      <c r="T9" s="559" t="s">
        <v>92</v>
      </c>
      <c r="U9" s="543" t="s">
        <v>96</v>
      </c>
      <c r="V9" s="543" t="s">
        <v>73</v>
      </c>
      <c r="W9" s="543" t="s">
        <v>68</v>
      </c>
      <c r="X9" s="543" t="s">
        <v>62</v>
      </c>
      <c r="Y9" s="543" t="s">
        <v>55</v>
      </c>
      <c r="Z9" s="543" t="s">
        <v>47</v>
      </c>
      <c r="AA9" s="543" t="s">
        <v>38</v>
      </c>
      <c r="AB9" s="560" t="s">
        <v>30</v>
      </c>
    </row>
    <row r="10" spans="2:28">
      <c r="B10" s="557" t="s">
        <v>78</v>
      </c>
      <c r="C10" s="543" t="s">
        <v>18</v>
      </c>
      <c r="D10" s="543" t="s">
        <v>93</v>
      </c>
      <c r="E10" s="558" t="s">
        <v>3</v>
      </c>
      <c r="F10" s="543" t="s">
        <v>91</v>
      </c>
      <c r="G10" s="543" t="s">
        <v>90</v>
      </c>
      <c r="H10" s="543" t="s">
        <v>74</v>
      </c>
      <c r="I10" s="543" t="s">
        <v>69</v>
      </c>
      <c r="J10" s="543" t="s">
        <v>63</v>
      </c>
      <c r="K10" s="543" t="s">
        <v>56</v>
      </c>
      <c r="L10" s="543" t="s">
        <v>48</v>
      </c>
      <c r="M10" s="543" t="s">
        <v>39</v>
      </c>
      <c r="N10" s="560" t="s">
        <v>28</v>
      </c>
      <c r="O10" s="43"/>
      <c r="P10" s="557" t="s">
        <v>78</v>
      </c>
      <c r="Q10" s="559" t="s">
        <v>18</v>
      </c>
      <c r="R10" s="543" t="s">
        <v>93</v>
      </c>
      <c r="S10" s="558" t="s">
        <v>3</v>
      </c>
      <c r="T10" s="559" t="s">
        <v>91</v>
      </c>
      <c r="U10" s="543" t="s">
        <v>90</v>
      </c>
      <c r="V10" s="543" t="s">
        <v>74</v>
      </c>
      <c r="W10" s="543" t="s">
        <v>69</v>
      </c>
      <c r="X10" s="543" t="s">
        <v>63</v>
      </c>
      <c r="Y10" s="543" t="s">
        <v>56</v>
      </c>
      <c r="Z10" s="543" t="s">
        <v>48</v>
      </c>
      <c r="AA10" s="543" t="s">
        <v>39</v>
      </c>
      <c r="AB10" s="560" t="s">
        <v>28</v>
      </c>
    </row>
    <row r="11" spans="2:28" ht="20.25" customHeight="1">
      <c r="B11" s="562" t="s">
        <v>79</v>
      </c>
      <c r="C11" s="543" t="s">
        <v>98</v>
      </c>
      <c r="D11" s="543" t="s">
        <v>99</v>
      </c>
      <c r="E11" s="543" t="s">
        <v>100</v>
      </c>
      <c r="F11" s="558" t="s">
        <v>4</v>
      </c>
      <c r="G11" s="543" t="s">
        <v>89</v>
      </c>
      <c r="H11" s="543" t="s">
        <v>75</v>
      </c>
      <c r="I11" s="543" t="s">
        <v>70</v>
      </c>
      <c r="J11" s="543" t="s">
        <v>64</v>
      </c>
      <c r="K11" s="543" t="s">
        <v>57</v>
      </c>
      <c r="L11" s="543" t="s">
        <v>49</v>
      </c>
      <c r="M11" s="543" t="s">
        <v>40</v>
      </c>
      <c r="N11" s="560" t="s">
        <v>29</v>
      </c>
      <c r="O11" s="43"/>
      <c r="P11" s="557" t="s">
        <v>79</v>
      </c>
      <c r="Q11" s="559" t="s">
        <v>98</v>
      </c>
      <c r="R11" s="543" t="s">
        <v>99</v>
      </c>
      <c r="S11" s="543" t="s">
        <v>100</v>
      </c>
      <c r="T11" s="558" t="s">
        <v>4</v>
      </c>
      <c r="U11" s="543" t="s">
        <v>89</v>
      </c>
      <c r="V11" s="543" t="s">
        <v>75</v>
      </c>
      <c r="W11" s="543" t="s">
        <v>70</v>
      </c>
      <c r="X11" s="543" t="s">
        <v>64</v>
      </c>
      <c r="Y11" s="543" t="s">
        <v>57</v>
      </c>
      <c r="Z11" s="543" t="s">
        <v>49</v>
      </c>
      <c r="AA11" s="543" t="s">
        <v>40</v>
      </c>
      <c r="AB11" s="560" t="s">
        <v>29</v>
      </c>
    </row>
    <row r="12" spans="2:28">
      <c r="B12" s="563" t="s">
        <v>80</v>
      </c>
      <c r="C12" s="543" t="s">
        <v>101</v>
      </c>
      <c r="D12" s="543" t="s">
        <v>109</v>
      </c>
      <c r="E12" s="543" t="s">
        <v>117</v>
      </c>
      <c r="F12" s="543" t="s">
        <v>125</v>
      </c>
      <c r="G12" s="558">
        <v>99</v>
      </c>
      <c r="H12" s="543" t="s">
        <v>88</v>
      </c>
      <c r="I12" s="543" t="s">
        <v>71</v>
      </c>
      <c r="J12" s="543" t="s">
        <v>65</v>
      </c>
      <c r="K12" s="543" t="s">
        <v>58</v>
      </c>
      <c r="L12" s="543" t="s">
        <v>50</v>
      </c>
      <c r="M12" s="543" t="s">
        <v>41</v>
      </c>
      <c r="N12" s="560" t="s">
        <v>31</v>
      </c>
      <c r="O12" s="43"/>
      <c r="P12" s="601" t="s">
        <v>80</v>
      </c>
      <c r="Q12" s="543" t="s">
        <v>101</v>
      </c>
      <c r="R12" s="543" t="s">
        <v>109</v>
      </c>
      <c r="S12" s="543" t="s">
        <v>117</v>
      </c>
      <c r="T12" s="543" t="s">
        <v>125</v>
      </c>
      <c r="U12" s="558">
        <v>99</v>
      </c>
      <c r="V12" s="543" t="s">
        <v>88</v>
      </c>
      <c r="W12" s="543" t="s">
        <v>71</v>
      </c>
      <c r="X12" s="543" t="s">
        <v>65</v>
      </c>
      <c r="Y12" s="543" t="s">
        <v>58</v>
      </c>
      <c r="Z12" s="543" t="s">
        <v>50</v>
      </c>
      <c r="AA12" s="543" t="s">
        <v>41</v>
      </c>
      <c r="AB12" s="560" t="s">
        <v>31</v>
      </c>
    </row>
    <row r="13" spans="2:28">
      <c r="B13" s="563" t="s">
        <v>81</v>
      </c>
      <c r="C13" s="543" t="s">
        <v>102</v>
      </c>
      <c r="D13" s="543" t="s">
        <v>110</v>
      </c>
      <c r="E13" s="543" t="s">
        <v>118</v>
      </c>
      <c r="F13" s="543" t="s">
        <v>126</v>
      </c>
      <c r="G13" s="543" t="s">
        <v>133</v>
      </c>
      <c r="H13" s="558">
        <v>88</v>
      </c>
      <c r="I13" s="543" t="s">
        <v>72</v>
      </c>
      <c r="J13" s="543" t="s">
        <v>66</v>
      </c>
      <c r="K13" s="543" t="s">
        <v>59</v>
      </c>
      <c r="L13" s="543" t="s">
        <v>51</v>
      </c>
      <c r="M13" s="543" t="s">
        <v>42</v>
      </c>
      <c r="N13" s="560" t="s">
        <v>32</v>
      </c>
      <c r="O13" s="43"/>
      <c r="P13" s="562" t="s">
        <v>81</v>
      </c>
      <c r="Q13" s="543" t="s">
        <v>102</v>
      </c>
      <c r="R13" s="543" t="s">
        <v>110</v>
      </c>
      <c r="S13" s="543" t="s">
        <v>118</v>
      </c>
      <c r="T13" s="543" t="s">
        <v>126</v>
      </c>
      <c r="U13" s="543" t="s">
        <v>133</v>
      </c>
      <c r="V13" s="558">
        <v>88</v>
      </c>
      <c r="W13" s="543" t="s">
        <v>72</v>
      </c>
      <c r="X13" s="543" t="s">
        <v>66</v>
      </c>
      <c r="Y13" s="543" t="s">
        <v>59</v>
      </c>
      <c r="Z13" s="543" t="s">
        <v>51</v>
      </c>
      <c r="AA13" s="543" t="s">
        <v>42</v>
      </c>
      <c r="AB13" s="560" t="s">
        <v>32</v>
      </c>
    </row>
    <row r="14" spans="2:28">
      <c r="B14" s="563" t="s">
        <v>82</v>
      </c>
      <c r="C14" s="543" t="s">
        <v>103</v>
      </c>
      <c r="D14" s="543" t="s">
        <v>111</v>
      </c>
      <c r="E14" s="543" t="s">
        <v>119</v>
      </c>
      <c r="F14" s="543" t="s">
        <v>127</v>
      </c>
      <c r="G14" s="543" t="s">
        <v>134</v>
      </c>
      <c r="H14" s="543" t="s">
        <v>140</v>
      </c>
      <c r="I14" s="558">
        <v>77</v>
      </c>
      <c r="J14" s="543" t="s">
        <v>67</v>
      </c>
      <c r="K14" s="543" t="s">
        <v>60</v>
      </c>
      <c r="L14" s="543" t="s">
        <v>52</v>
      </c>
      <c r="M14" s="543" t="s">
        <v>43</v>
      </c>
      <c r="N14" s="560" t="s">
        <v>33</v>
      </c>
      <c r="O14" s="43"/>
      <c r="P14" s="563" t="s">
        <v>82</v>
      </c>
      <c r="Q14" s="543" t="s">
        <v>103</v>
      </c>
      <c r="R14" s="543" t="s">
        <v>111</v>
      </c>
      <c r="S14" s="543" t="s">
        <v>119</v>
      </c>
      <c r="T14" s="543" t="s">
        <v>127</v>
      </c>
      <c r="U14" s="543" t="s">
        <v>134</v>
      </c>
      <c r="V14" s="543" t="s">
        <v>140</v>
      </c>
      <c r="W14" s="558">
        <v>77</v>
      </c>
      <c r="X14" s="543" t="s">
        <v>67</v>
      </c>
      <c r="Y14" s="543" t="s">
        <v>60</v>
      </c>
      <c r="Z14" s="543" t="s">
        <v>52</v>
      </c>
      <c r="AA14" s="543" t="s">
        <v>43</v>
      </c>
      <c r="AB14" s="560" t="s">
        <v>33</v>
      </c>
    </row>
    <row r="15" spans="2:28">
      <c r="B15" s="563" t="s">
        <v>83</v>
      </c>
      <c r="C15" s="543" t="s">
        <v>108</v>
      </c>
      <c r="D15" s="543" t="s">
        <v>112</v>
      </c>
      <c r="E15" s="543" t="s">
        <v>120</v>
      </c>
      <c r="F15" s="543" t="s">
        <v>128</v>
      </c>
      <c r="G15" s="543" t="s">
        <v>135</v>
      </c>
      <c r="H15" s="543" t="s">
        <v>141</v>
      </c>
      <c r="I15" s="543" t="s">
        <v>146</v>
      </c>
      <c r="J15" s="602">
        <v>66</v>
      </c>
      <c r="K15" s="543" t="s">
        <v>61</v>
      </c>
      <c r="L15" s="543" t="s">
        <v>53</v>
      </c>
      <c r="M15" s="543" t="s">
        <v>44</v>
      </c>
      <c r="N15" s="560" t="s">
        <v>34</v>
      </c>
      <c r="O15" s="43"/>
      <c r="P15" s="563" t="s">
        <v>83</v>
      </c>
      <c r="Q15" s="543" t="s">
        <v>108</v>
      </c>
      <c r="R15" s="543" t="s">
        <v>112</v>
      </c>
      <c r="S15" s="543" t="s">
        <v>120</v>
      </c>
      <c r="T15" s="543" t="s">
        <v>128</v>
      </c>
      <c r="U15" s="543" t="s">
        <v>135</v>
      </c>
      <c r="V15" s="543" t="s">
        <v>141</v>
      </c>
      <c r="W15" s="543" t="s">
        <v>146</v>
      </c>
      <c r="X15" s="558">
        <v>66</v>
      </c>
      <c r="Y15" s="543" t="s">
        <v>61</v>
      </c>
      <c r="Z15" s="543" t="s">
        <v>53</v>
      </c>
      <c r="AA15" s="543" t="s">
        <v>44</v>
      </c>
      <c r="AB15" s="560" t="s">
        <v>34</v>
      </c>
    </row>
    <row r="16" spans="2:28">
      <c r="B16" s="563" t="s">
        <v>84</v>
      </c>
      <c r="C16" s="543" t="s">
        <v>104</v>
      </c>
      <c r="D16" s="543" t="s">
        <v>113</v>
      </c>
      <c r="E16" s="543" t="s">
        <v>121</v>
      </c>
      <c r="F16" s="543" t="s">
        <v>129</v>
      </c>
      <c r="G16" s="543" t="s">
        <v>136</v>
      </c>
      <c r="H16" s="543" t="s">
        <v>142</v>
      </c>
      <c r="I16" s="543" t="s">
        <v>147</v>
      </c>
      <c r="J16" s="543" t="s">
        <v>151</v>
      </c>
      <c r="K16" s="559">
        <v>55</v>
      </c>
      <c r="L16" s="543" t="s">
        <v>54</v>
      </c>
      <c r="M16" s="543" t="s">
        <v>45</v>
      </c>
      <c r="N16" s="560" t="s">
        <v>35</v>
      </c>
      <c r="O16" s="43"/>
      <c r="P16" s="563" t="s">
        <v>84</v>
      </c>
      <c r="Q16" s="543" t="s">
        <v>104</v>
      </c>
      <c r="R16" s="543" t="s">
        <v>113</v>
      </c>
      <c r="S16" s="543" t="s">
        <v>121</v>
      </c>
      <c r="T16" s="543" t="s">
        <v>129</v>
      </c>
      <c r="U16" s="543" t="s">
        <v>136</v>
      </c>
      <c r="V16" s="543" t="s">
        <v>142</v>
      </c>
      <c r="W16" s="543" t="s">
        <v>147</v>
      </c>
      <c r="X16" s="543" t="s">
        <v>151</v>
      </c>
      <c r="Y16" s="558">
        <v>55</v>
      </c>
      <c r="Z16" s="543" t="s">
        <v>54</v>
      </c>
      <c r="AA16" s="543" t="s">
        <v>45</v>
      </c>
      <c r="AB16" s="560" t="s">
        <v>35</v>
      </c>
    </row>
    <row r="17" spans="2:28">
      <c r="B17" s="563" t="s">
        <v>85</v>
      </c>
      <c r="C17" s="543" t="s">
        <v>105</v>
      </c>
      <c r="D17" s="543" t="s">
        <v>114</v>
      </c>
      <c r="E17" s="543" t="s">
        <v>122</v>
      </c>
      <c r="F17" s="543" t="s">
        <v>130</v>
      </c>
      <c r="G17" s="543" t="s">
        <v>137</v>
      </c>
      <c r="H17" s="543" t="s">
        <v>143</v>
      </c>
      <c r="I17" s="543" t="s">
        <v>148</v>
      </c>
      <c r="J17" s="543" t="s">
        <v>152</v>
      </c>
      <c r="K17" s="543" t="s">
        <v>155</v>
      </c>
      <c r="L17" s="559">
        <v>44</v>
      </c>
      <c r="M17" s="543" t="s">
        <v>46</v>
      </c>
      <c r="N17" s="560" t="s">
        <v>36</v>
      </c>
      <c r="O17" s="43"/>
      <c r="P17" s="563" t="s">
        <v>85</v>
      </c>
      <c r="Q17" s="543" t="s">
        <v>105</v>
      </c>
      <c r="R17" s="543" t="s">
        <v>114</v>
      </c>
      <c r="S17" s="543" t="s">
        <v>122</v>
      </c>
      <c r="T17" s="543" t="s">
        <v>130</v>
      </c>
      <c r="U17" s="543" t="s">
        <v>137</v>
      </c>
      <c r="V17" s="543" t="s">
        <v>143</v>
      </c>
      <c r="W17" s="543" t="s">
        <v>148</v>
      </c>
      <c r="X17" s="543" t="s">
        <v>152</v>
      </c>
      <c r="Y17" s="543" t="s">
        <v>155</v>
      </c>
      <c r="Z17" s="602">
        <v>44</v>
      </c>
      <c r="AA17" s="543" t="s">
        <v>46</v>
      </c>
      <c r="AB17" s="560" t="s">
        <v>36</v>
      </c>
    </row>
    <row r="18" spans="2:28">
      <c r="B18" s="563" t="s">
        <v>86</v>
      </c>
      <c r="C18" s="543" t="s">
        <v>106</v>
      </c>
      <c r="D18" s="543" t="s">
        <v>115</v>
      </c>
      <c r="E18" s="543" t="s">
        <v>123</v>
      </c>
      <c r="F18" s="543" t="s">
        <v>131</v>
      </c>
      <c r="G18" s="543" t="s">
        <v>138</v>
      </c>
      <c r="H18" s="543" t="s">
        <v>144</v>
      </c>
      <c r="I18" s="543" t="s">
        <v>149</v>
      </c>
      <c r="J18" s="543" t="s">
        <v>153</v>
      </c>
      <c r="K18" s="543" t="s">
        <v>156</v>
      </c>
      <c r="L18" s="543" t="s">
        <v>158</v>
      </c>
      <c r="M18" s="543">
        <v>33</v>
      </c>
      <c r="N18" s="560" t="s">
        <v>37</v>
      </c>
      <c r="O18" s="43"/>
      <c r="P18" s="563" t="s">
        <v>86</v>
      </c>
      <c r="Q18" s="543" t="s">
        <v>106</v>
      </c>
      <c r="R18" s="543" t="s">
        <v>115</v>
      </c>
      <c r="S18" s="543" t="s">
        <v>123</v>
      </c>
      <c r="T18" s="543" t="s">
        <v>131</v>
      </c>
      <c r="U18" s="543" t="s">
        <v>138</v>
      </c>
      <c r="V18" s="543" t="s">
        <v>144</v>
      </c>
      <c r="W18" s="543" t="s">
        <v>149</v>
      </c>
      <c r="X18" s="543" t="s">
        <v>153</v>
      </c>
      <c r="Y18" s="543" t="s">
        <v>156</v>
      </c>
      <c r="Z18" s="543" t="s">
        <v>158</v>
      </c>
      <c r="AA18" s="543">
        <v>33</v>
      </c>
      <c r="AB18" s="560" t="s">
        <v>37</v>
      </c>
    </row>
    <row r="19" spans="2:28" ht="15.75" thickBot="1">
      <c r="B19" s="565" t="s">
        <v>87</v>
      </c>
      <c r="C19" s="566" t="s">
        <v>107</v>
      </c>
      <c r="D19" s="566" t="s">
        <v>116</v>
      </c>
      <c r="E19" s="566" t="s">
        <v>124</v>
      </c>
      <c r="F19" s="566" t="s">
        <v>132</v>
      </c>
      <c r="G19" s="566" t="s">
        <v>139</v>
      </c>
      <c r="H19" s="566" t="s">
        <v>145</v>
      </c>
      <c r="I19" s="566" t="s">
        <v>150</v>
      </c>
      <c r="J19" s="566" t="s">
        <v>154</v>
      </c>
      <c r="K19" s="566" t="s">
        <v>157</v>
      </c>
      <c r="L19" s="566" t="s">
        <v>160</v>
      </c>
      <c r="M19" s="566" t="s">
        <v>159</v>
      </c>
      <c r="N19" s="567">
        <v>22</v>
      </c>
      <c r="O19" s="43"/>
      <c r="P19" s="565" t="s">
        <v>87</v>
      </c>
      <c r="Q19" s="566" t="s">
        <v>107</v>
      </c>
      <c r="R19" s="566" t="s">
        <v>116</v>
      </c>
      <c r="S19" s="566" t="s">
        <v>124</v>
      </c>
      <c r="T19" s="566" t="s">
        <v>132</v>
      </c>
      <c r="U19" s="566" t="s">
        <v>139</v>
      </c>
      <c r="V19" s="566" t="s">
        <v>145</v>
      </c>
      <c r="W19" s="566" t="s">
        <v>150</v>
      </c>
      <c r="X19" s="566" t="s">
        <v>154</v>
      </c>
      <c r="Y19" s="566" t="s">
        <v>157</v>
      </c>
      <c r="Z19" s="566" t="s">
        <v>160</v>
      </c>
      <c r="AA19" s="566" t="s">
        <v>159</v>
      </c>
      <c r="AB19" s="567">
        <v>22</v>
      </c>
    </row>
    <row r="20" spans="2:28" ht="15.75" thickBot="1"/>
    <row r="21" spans="2:28" ht="15.75" thickBot="1">
      <c r="B21" s="788" t="s">
        <v>355</v>
      </c>
      <c r="C21" s="789"/>
      <c r="D21" s="789"/>
      <c r="E21" s="789"/>
      <c r="F21" s="789"/>
      <c r="G21" s="789"/>
      <c r="H21" s="789"/>
      <c r="I21" s="789"/>
      <c r="J21" s="789"/>
      <c r="K21" s="789"/>
      <c r="L21" s="789"/>
      <c r="M21" s="789"/>
      <c r="N21" s="649"/>
      <c r="O21" s="43"/>
      <c r="P21" s="788" t="s">
        <v>356</v>
      </c>
      <c r="Q21" s="789"/>
      <c r="R21" s="789"/>
      <c r="S21" s="789"/>
      <c r="T21" s="789"/>
      <c r="U21" s="789"/>
      <c r="V21" s="789"/>
      <c r="W21" s="789"/>
      <c r="X21" s="789"/>
      <c r="Y21" s="789"/>
      <c r="Z21" s="789"/>
      <c r="AA21" s="789"/>
      <c r="AB21" s="649"/>
    </row>
    <row r="22" spans="2:28">
      <c r="B22" s="607" t="s">
        <v>0</v>
      </c>
      <c r="C22" s="589" t="s">
        <v>5</v>
      </c>
      <c r="D22" s="589" t="s">
        <v>6</v>
      </c>
      <c r="E22" s="589" t="s">
        <v>7</v>
      </c>
      <c r="F22" s="589" t="s">
        <v>8</v>
      </c>
      <c r="G22" s="589" t="s">
        <v>9</v>
      </c>
      <c r="H22" s="589" t="s">
        <v>10</v>
      </c>
      <c r="I22" s="589" t="s">
        <v>11</v>
      </c>
      <c r="J22" s="603" t="s">
        <v>12</v>
      </c>
      <c r="K22" s="603" t="s">
        <v>13</v>
      </c>
      <c r="L22" s="554" t="s">
        <v>14</v>
      </c>
      <c r="M22" s="554" t="s">
        <v>15</v>
      </c>
      <c r="N22" s="556" t="s">
        <v>16</v>
      </c>
      <c r="O22" s="43"/>
      <c r="P22" s="612" t="s">
        <v>0</v>
      </c>
      <c r="Q22" s="603" t="s">
        <v>5</v>
      </c>
      <c r="R22" s="603" t="s">
        <v>6</v>
      </c>
      <c r="S22" s="603" t="s">
        <v>7</v>
      </c>
      <c r="T22" s="603" t="s">
        <v>8</v>
      </c>
      <c r="U22" s="603" t="s">
        <v>9</v>
      </c>
      <c r="V22" s="603" t="s">
        <v>10</v>
      </c>
      <c r="W22" s="603" t="s">
        <v>11</v>
      </c>
      <c r="X22" s="603" t="s">
        <v>12</v>
      </c>
      <c r="Y22" s="603" t="s">
        <v>13</v>
      </c>
      <c r="Z22" s="603" t="s">
        <v>14</v>
      </c>
      <c r="AA22" s="603" t="s">
        <v>15</v>
      </c>
      <c r="AB22" s="608" t="s">
        <v>16</v>
      </c>
    </row>
    <row r="23" spans="2:28">
      <c r="B23" s="600" t="s">
        <v>76</v>
      </c>
      <c r="C23" s="590" t="s">
        <v>1</v>
      </c>
      <c r="D23" s="590" t="s">
        <v>95</v>
      </c>
      <c r="E23" s="590" t="s">
        <v>94</v>
      </c>
      <c r="F23" s="602" t="s">
        <v>19</v>
      </c>
      <c r="G23" s="543" t="s">
        <v>20</v>
      </c>
      <c r="H23" s="543" t="s">
        <v>21</v>
      </c>
      <c r="I23" s="543" t="s">
        <v>22</v>
      </c>
      <c r="J23" s="543" t="s">
        <v>23</v>
      </c>
      <c r="K23" s="543" t="s">
        <v>24</v>
      </c>
      <c r="L23" s="543" t="s">
        <v>25</v>
      </c>
      <c r="M23" s="543" t="s">
        <v>26</v>
      </c>
      <c r="N23" s="560" t="s">
        <v>191</v>
      </c>
      <c r="O23" s="43"/>
      <c r="P23" s="601" t="s">
        <v>76</v>
      </c>
      <c r="Q23" s="602" t="s">
        <v>1</v>
      </c>
      <c r="R23" s="602" t="s">
        <v>95</v>
      </c>
      <c r="S23" s="602" t="s">
        <v>94</v>
      </c>
      <c r="T23" s="602" t="s">
        <v>19</v>
      </c>
      <c r="U23" s="602" t="s">
        <v>20</v>
      </c>
      <c r="V23" s="602" t="s">
        <v>21</v>
      </c>
      <c r="W23" s="559" t="s">
        <v>22</v>
      </c>
      <c r="X23" s="543" t="s">
        <v>23</v>
      </c>
      <c r="Y23" s="543" t="s">
        <v>24</v>
      </c>
      <c r="Z23" s="543" t="s">
        <v>25</v>
      </c>
      <c r="AA23" s="543" t="s">
        <v>26</v>
      </c>
      <c r="AB23" s="560" t="s">
        <v>191</v>
      </c>
    </row>
    <row r="24" spans="2:28">
      <c r="B24" s="600" t="s">
        <v>77</v>
      </c>
      <c r="C24" s="590" t="s">
        <v>17</v>
      </c>
      <c r="D24" s="590" t="s">
        <v>2</v>
      </c>
      <c r="E24" s="602" t="s">
        <v>97</v>
      </c>
      <c r="F24" s="559" t="s">
        <v>92</v>
      </c>
      <c r="G24" s="543" t="s">
        <v>96</v>
      </c>
      <c r="H24" s="543" t="s">
        <v>73</v>
      </c>
      <c r="I24" s="543" t="s">
        <v>68</v>
      </c>
      <c r="J24" s="543" t="s">
        <v>62</v>
      </c>
      <c r="K24" s="543" t="s">
        <v>55</v>
      </c>
      <c r="L24" s="543" t="s">
        <v>47</v>
      </c>
      <c r="M24" s="543" t="s">
        <v>38</v>
      </c>
      <c r="N24" s="560" t="s">
        <v>30</v>
      </c>
      <c r="O24" s="43"/>
      <c r="P24" s="601" t="s">
        <v>77</v>
      </c>
      <c r="Q24" s="602" t="s">
        <v>17</v>
      </c>
      <c r="R24" s="602" t="s">
        <v>2</v>
      </c>
      <c r="S24" s="602" t="s">
        <v>97</v>
      </c>
      <c r="T24" s="602" t="s">
        <v>92</v>
      </c>
      <c r="U24" s="559" t="s">
        <v>96</v>
      </c>
      <c r="V24" s="543" t="s">
        <v>73</v>
      </c>
      <c r="W24" s="543" t="s">
        <v>68</v>
      </c>
      <c r="X24" s="543" t="s">
        <v>62</v>
      </c>
      <c r="Y24" s="543" t="s">
        <v>55</v>
      </c>
      <c r="Z24" s="543" t="s">
        <v>47</v>
      </c>
      <c r="AA24" s="543" t="s">
        <v>38</v>
      </c>
      <c r="AB24" s="560" t="s">
        <v>30</v>
      </c>
    </row>
    <row r="25" spans="2:28">
      <c r="B25" s="600" t="s">
        <v>78</v>
      </c>
      <c r="C25" s="559" t="s">
        <v>18</v>
      </c>
      <c r="D25" s="543" t="s">
        <v>93</v>
      </c>
      <c r="E25" s="590" t="s">
        <v>3</v>
      </c>
      <c r="F25" s="559" t="s">
        <v>91</v>
      </c>
      <c r="G25" s="543" t="s">
        <v>90</v>
      </c>
      <c r="H25" s="543" t="s">
        <v>74</v>
      </c>
      <c r="I25" s="543" t="s">
        <v>69</v>
      </c>
      <c r="J25" s="543" t="s">
        <v>63</v>
      </c>
      <c r="K25" s="543" t="s">
        <v>56</v>
      </c>
      <c r="L25" s="543" t="s">
        <v>48</v>
      </c>
      <c r="M25" s="543" t="s">
        <v>39</v>
      </c>
      <c r="N25" s="560" t="s">
        <v>28</v>
      </c>
      <c r="O25" s="43"/>
      <c r="P25" s="601" t="s">
        <v>78</v>
      </c>
      <c r="Q25" s="602" t="s">
        <v>18</v>
      </c>
      <c r="R25" s="602" t="s">
        <v>93</v>
      </c>
      <c r="S25" s="602" t="s">
        <v>3</v>
      </c>
      <c r="T25" s="602" t="s">
        <v>91</v>
      </c>
      <c r="U25" s="543" t="s">
        <v>90</v>
      </c>
      <c r="V25" s="543" t="s">
        <v>74</v>
      </c>
      <c r="W25" s="543" t="s">
        <v>69</v>
      </c>
      <c r="X25" s="543" t="s">
        <v>63</v>
      </c>
      <c r="Y25" s="543" t="s">
        <v>56</v>
      </c>
      <c r="Z25" s="543" t="s">
        <v>48</v>
      </c>
      <c r="AA25" s="543" t="s">
        <v>39</v>
      </c>
      <c r="AB25" s="560" t="s">
        <v>28</v>
      </c>
    </row>
    <row r="26" spans="2:28">
      <c r="B26" s="600" t="s">
        <v>79</v>
      </c>
      <c r="C26" s="543" t="s">
        <v>98</v>
      </c>
      <c r="D26" s="543" t="s">
        <v>99</v>
      </c>
      <c r="E26" s="543" t="s">
        <v>100</v>
      </c>
      <c r="F26" s="590" t="s">
        <v>4</v>
      </c>
      <c r="G26" s="543" t="s">
        <v>89</v>
      </c>
      <c r="H26" s="543" t="s">
        <v>75</v>
      </c>
      <c r="I26" s="543" t="s">
        <v>70</v>
      </c>
      <c r="J26" s="543" t="s">
        <v>64</v>
      </c>
      <c r="K26" s="543" t="s">
        <v>57</v>
      </c>
      <c r="L26" s="543" t="s">
        <v>49</v>
      </c>
      <c r="M26" s="543" t="s">
        <v>40</v>
      </c>
      <c r="N26" s="560" t="s">
        <v>29</v>
      </c>
      <c r="O26" s="43"/>
      <c r="P26" s="601" t="s">
        <v>79</v>
      </c>
      <c r="Q26" s="602" t="s">
        <v>98</v>
      </c>
      <c r="R26" s="559" t="s">
        <v>99</v>
      </c>
      <c r="S26" s="543" t="s">
        <v>100</v>
      </c>
      <c r="T26" s="602" t="s">
        <v>4</v>
      </c>
      <c r="U26" s="543" t="s">
        <v>89</v>
      </c>
      <c r="V26" s="543" t="s">
        <v>75</v>
      </c>
      <c r="W26" s="543" t="s">
        <v>70</v>
      </c>
      <c r="X26" s="543" t="s">
        <v>64</v>
      </c>
      <c r="Y26" s="543" t="s">
        <v>57</v>
      </c>
      <c r="Z26" s="543" t="s">
        <v>49</v>
      </c>
      <c r="AA26" s="543" t="s">
        <v>40</v>
      </c>
      <c r="AB26" s="560" t="s">
        <v>29</v>
      </c>
    </row>
    <row r="27" spans="2:28">
      <c r="B27" s="600" t="s">
        <v>80</v>
      </c>
      <c r="C27" s="543" t="s">
        <v>101</v>
      </c>
      <c r="D27" s="543" t="s">
        <v>109</v>
      </c>
      <c r="E27" s="543" t="s">
        <v>117</v>
      </c>
      <c r="F27" s="543" t="s">
        <v>125</v>
      </c>
      <c r="G27" s="590">
        <v>99</v>
      </c>
      <c r="H27" s="543" t="s">
        <v>88</v>
      </c>
      <c r="I27" s="543" t="s">
        <v>71</v>
      </c>
      <c r="J27" s="543" t="s">
        <v>65</v>
      </c>
      <c r="K27" s="543" t="s">
        <v>58</v>
      </c>
      <c r="L27" s="543" t="s">
        <v>50</v>
      </c>
      <c r="M27" s="543" t="s">
        <v>41</v>
      </c>
      <c r="N27" s="560" t="s">
        <v>31</v>
      </c>
      <c r="O27" s="43"/>
      <c r="P27" s="601" t="s">
        <v>80</v>
      </c>
      <c r="Q27" s="559" t="s">
        <v>101</v>
      </c>
      <c r="R27" s="543" t="s">
        <v>109</v>
      </c>
      <c r="S27" s="543" t="s">
        <v>117</v>
      </c>
      <c r="T27" s="543" t="s">
        <v>125</v>
      </c>
      <c r="U27" s="602">
        <v>99</v>
      </c>
      <c r="V27" s="543" t="s">
        <v>88</v>
      </c>
      <c r="W27" s="543" t="s">
        <v>71</v>
      </c>
      <c r="X27" s="543" t="s">
        <v>65</v>
      </c>
      <c r="Y27" s="543" t="s">
        <v>58</v>
      </c>
      <c r="Z27" s="543" t="s">
        <v>50</v>
      </c>
      <c r="AA27" s="543" t="s">
        <v>41</v>
      </c>
      <c r="AB27" s="560" t="s">
        <v>31</v>
      </c>
    </row>
    <row r="28" spans="2:28">
      <c r="B28" s="562" t="s">
        <v>81</v>
      </c>
      <c r="C28" s="543" t="s">
        <v>102</v>
      </c>
      <c r="D28" s="543" t="s">
        <v>110</v>
      </c>
      <c r="E28" s="543" t="s">
        <v>118</v>
      </c>
      <c r="F28" s="543" t="s">
        <v>126</v>
      </c>
      <c r="G28" s="543" t="s">
        <v>133</v>
      </c>
      <c r="H28" s="590">
        <v>88</v>
      </c>
      <c r="I28" s="543" t="s">
        <v>72</v>
      </c>
      <c r="J28" s="543" t="s">
        <v>66</v>
      </c>
      <c r="K28" s="543" t="s">
        <v>59</v>
      </c>
      <c r="L28" s="543" t="s">
        <v>51</v>
      </c>
      <c r="M28" s="543" t="s">
        <v>42</v>
      </c>
      <c r="N28" s="560" t="s">
        <v>32</v>
      </c>
      <c r="O28" s="43"/>
      <c r="P28" s="601" t="s">
        <v>81</v>
      </c>
      <c r="Q28" s="543" t="s">
        <v>102</v>
      </c>
      <c r="R28" s="543" t="s">
        <v>110</v>
      </c>
      <c r="S28" s="543" t="s">
        <v>118</v>
      </c>
      <c r="T28" s="543" t="s">
        <v>126</v>
      </c>
      <c r="U28" s="543" t="s">
        <v>133</v>
      </c>
      <c r="V28" s="602">
        <v>88</v>
      </c>
      <c r="W28" s="543" t="s">
        <v>72</v>
      </c>
      <c r="X28" s="543" t="s">
        <v>66</v>
      </c>
      <c r="Y28" s="543" t="s">
        <v>59</v>
      </c>
      <c r="Z28" s="543" t="s">
        <v>51</v>
      </c>
      <c r="AA28" s="543" t="s">
        <v>42</v>
      </c>
      <c r="AB28" s="560" t="s">
        <v>32</v>
      </c>
    </row>
    <row r="29" spans="2:28">
      <c r="B29" s="562" t="s">
        <v>82</v>
      </c>
      <c r="C29" s="543" t="s">
        <v>103</v>
      </c>
      <c r="D29" s="543" t="s">
        <v>111</v>
      </c>
      <c r="E29" s="543" t="s">
        <v>119</v>
      </c>
      <c r="F29" s="543" t="s">
        <v>127</v>
      </c>
      <c r="G29" s="543" t="s">
        <v>134</v>
      </c>
      <c r="H29" s="543" t="s">
        <v>140</v>
      </c>
      <c r="I29" s="590">
        <v>77</v>
      </c>
      <c r="J29" s="543" t="s">
        <v>67</v>
      </c>
      <c r="K29" s="543" t="s">
        <v>60</v>
      </c>
      <c r="L29" s="543" t="s">
        <v>52</v>
      </c>
      <c r="M29" s="543" t="s">
        <v>43</v>
      </c>
      <c r="N29" s="560" t="s">
        <v>33</v>
      </c>
      <c r="O29" s="43"/>
      <c r="P29" s="601" t="s">
        <v>82</v>
      </c>
      <c r="Q29" s="543" t="s">
        <v>103</v>
      </c>
      <c r="R29" s="543" t="s">
        <v>111</v>
      </c>
      <c r="S29" s="543" t="s">
        <v>119</v>
      </c>
      <c r="T29" s="543" t="s">
        <v>127</v>
      </c>
      <c r="U29" s="543" t="s">
        <v>134</v>
      </c>
      <c r="V29" s="543" t="s">
        <v>140</v>
      </c>
      <c r="W29" s="602">
        <v>77</v>
      </c>
      <c r="X29" s="543" t="s">
        <v>67</v>
      </c>
      <c r="Y29" s="543" t="s">
        <v>60</v>
      </c>
      <c r="Z29" s="543" t="s">
        <v>52</v>
      </c>
      <c r="AA29" s="543" t="s">
        <v>43</v>
      </c>
      <c r="AB29" s="560" t="s">
        <v>33</v>
      </c>
    </row>
    <row r="30" spans="2:28">
      <c r="B30" s="563" t="s">
        <v>83</v>
      </c>
      <c r="C30" s="543" t="s">
        <v>108</v>
      </c>
      <c r="D30" s="543" t="s">
        <v>112</v>
      </c>
      <c r="E30" s="543" t="s">
        <v>120</v>
      </c>
      <c r="F30" s="543" t="s">
        <v>128</v>
      </c>
      <c r="G30" s="543" t="s">
        <v>135</v>
      </c>
      <c r="H30" s="543" t="s">
        <v>141</v>
      </c>
      <c r="I30" s="543" t="s">
        <v>146</v>
      </c>
      <c r="J30" s="590">
        <v>66</v>
      </c>
      <c r="K30" s="543" t="s">
        <v>61</v>
      </c>
      <c r="L30" s="543" t="s">
        <v>53</v>
      </c>
      <c r="M30" s="543" t="s">
        <v>44</v>
      </c>
      <c r="N30" s="560" t="s">
        <v>34</v>
      </c>
      <c r="O30" s="43"/>
      <c r="P30" s="601" t="s">
        <v>83</v>
      </c>
      <c r="Q30" s="543" t="s">
        <v>108</v>
      </c>
      <c r="R30" s="543" t="s">
        <v>112</v>
      </c>
      <c r="S30" s="543" t="s">
        <v>120</v>
      </c>
      <c r="T30" s="543" t="s">
        <v>128</v>
      </c>
      <c r="U30" s="543" t="s">
        <v>135</v>
      </c>
      <c r="V30" s="543" t="s">
        <v>141</v>
      </c>
      <c r="W30" s="543" t="s">
        <v>146</v>
      </c>
      <c r="X30" s="602">
        <v>66</v>
      </c>
      <c r="Y30" s="543" t="s">
        <v>61</v>
      </c>
      <c r="Z30" s="543" t="s">
        <v>53</v>
      </c>
      <c r="AA30" s="543" t="s">
        <v>44</v>
      </c>
      <c r="AB30" s="560" t="s">
        <v>34</v>
      </c>
    </row>
    <row r="31" spans="2:28">
      <c r="B31" s="563" t="s">
        <v>84</v>
      </c>
      <c r="C31" s="543" t="s">
        <v>104</v>
      </c>
      <c r="D31" s="543" t="s">
        <v>113</v>
      </c>
      <c r="E31" s="543" t="s">
        <v>121</v>
      </c>
      <c r="F31" s="543" t="s">
        <v>129</v>
      </c>
      <c r="G31" s="543" t="s">
        <v>136</v>
      </c>
      <c r="H31" s="543" t="s">
        <v>142</v>
      </c>
      <c r="I31" s="543" t="s">
        <v>147</v>
      </c>
      <c r="J31" s="543" t="s">
        <v>151</v>
      </c>
      <c r="K31" s="590">
        <v>55</v>
      </c>
      <c r="L31" s="543" t="s">
        <v>54</v>
      </c>
      <c r="M31" s="543" t="s">
        <v>45</v>
      </c>
      <c r="N31" s="560" t="s">
        <v>35</v>
      </c>
      <c r="O31" s="43"/>
      <c r="P31" s="601" t="s">
        <v>84</v>
      </c>
      <c r="Q31" s="543" t="s">
        <v>104</v>
      </c>
      <c r="R31" s="543" t="s">
        <v>113</v>
      </c>
      <c r="S31" s="543" t="s">
        <v>121</v>
      </c>
      <c r="T31" s="543" t="s">
        <v>129</v>
      </c>
      <c r="U31" s="543" t="s">
        <v>136</v>
      </c>
      <c r="V31" s="543" t="s">
        <v>142</v>
      </c>
      <c r="W31" s="543" t="s">
        <v>147</v>
      </c>
      <c r="X31" s="543" t="s">
        <v>151</v>
      </c>
      <c r="Y31" s="602">
        <v>55</v>
      </c>
      <c r="Z31" s="543" t="s">
        <v>54</v>
      </c>
      <c r="AA31" s="543" t="s">
        <v>45</v>
      </c>
      <c r="AB31" s="560" t="s">
        <v>35</v>
      </c>
    </row>
    <row r="32" spans="2:28">
      <c r="B32" s="563" t="s">
        <v>85</v>
      </c>
      <c r="C32" s="543" t="s">
        <v>105</v>
      </c>
      <c r="D32" s="543" t="s">
        <v>114</v>
      </c>
      <c r="E32" s="543" t="s">
        <v>122</v>
      </c>
      <c r="F32" s="543" t="s">
        <v>130</v>
      </c>
      <c r="G32" s="543" t="s">
        <v>137</v>
      </c>
      <c r="H32" s="543" t="s">
        <v>143</v>
      </c>
      <c r="I32" s="543" t="s">
        <v>148</v>
      </c>
      <c r="J32" s="543" t="s">
        <v>152</v>
      </c>
      <c r="K32" s="543" t="s">
        <v>155</v>
      </c>
      <c r="L32" s="590">
        <v>44</v>
      </c>
      <c r="M32" s="543" t="s">
        <v>46</v>
      </c>
      <c r="N32" s="560" t="s">
        <v>36</v>
      </c>
      <c r="O32" s="43"/>
      <c r="P32" s="601" t="s">
        <v>85</v>
      </c>
      <c r="Q32" s="543" t="s">
        <v>105</v>
      </c>
      <c r="R32" s="543" t="s">
        <v>114</v>
      </c>
      <c r="S32" s="543" t="s">
        <v>122</v>
      </c>
      <c r="T32" s="543" t="s">
        <v>130</v>
      </c>
      <c r="U32" s="543" t="s">
        <v>137</v>
      </c>
      <c r="V32" s="543" t="s">
        <v>143</v>
      </c>
      <c r="W32" s="543" t="s">
        <v>148</v>
      </c>
      <c r="X32" s="543" t="s">
        <v>152</v>
      </c>
      <c r="Y32" s="543" t="s">
        <v>155</v>
      </c>
      <c r="Z32" s="602">
        <v>44</v>
      </c>
      <c r="AA32" s="543" t="s">
        <v>46</v>
      </c>
      <c r="AB32" s="560" t="s">
        <v>36</v>
      </c>
    </row>
    <row r="33" spans="2:28">
      <c r="B33" s="563" t="s">
        <v>86</v>
      </c>
      <c r="C33" s="543" t="s">
        <v>106</v>
      </c>
      <c r="D33" s="543" t="s">
        <v>115</v>
      </c>
      <c r="E33" s="543" t="s">
        <v>123</v>
      </c>
      <c r="F33" s="543" t="s">
        <v>131</v>
      </c>
      <c r="G33" s="543" t="s">
        <v>138</v>
      </c>
      <c r="H33" s="543" t="s">
        <v>144</v>
      </c>
      <c r="I33" s="543" t="s">
        <v>149</v>
      </c>
      <c r="J33" s="543" t="s">
        <v>153</v>
      </c>
      <c r="K33" s="543" t="s">
        <v>156</v>
      </c>
      <c r="L33" s="543" t="s">
        <v>158</v>
      </c>
      <c r="M33" s="602">
        <v>33</v>
      </c>
      <c r="N33" s="560" t="s">
        <v>37</v>
      </c>
      <c r="O33" s="43"/>
      <c r="P33" s="562" t="s">
        <v>86</v>
      </c>
      <c r="Q33" s="543" t="s">
        <v>106</v>
      </c>
      <c r="R33" s="543" t="s">
        <v>115</v>
      </c>
      <c r="S33" s="543" t="s">
        <v>123</v>
      </c>
      <c r="T33" s="543" t="s">
        <v>131</v>
      </c>
      <c r="U33" s="543" t="s">
        <v>138</v>
      </c>
      <c r="V33" s="543" t="s">
        <v>144</v>
      </c>
      <c r="W33" s="543" t="s">
        <v>149</v>
      </c>
      <c r="X33" s="543" t="s">
        <v>153</v>
      </c>
      <c r="Y33" s="543" t="s">
        <v>156</v>
      </c>
      <c r="Z33" s="543" t="s">
        <v>158</v>
      </c>
      <c r="AA33" s="602">
        <v>33</v>
      </c>
      <c r="AB33" s="560" t="s">
        <v>37</v>
      </c>
    </row>
    <row r="34" spans="2:28" ht="15.75" thickBot="1">
      <c r="B34" s="565" t="s">
        <v>87</v>
      </c>
      <c r="C34" s="566" t="s">
        <v>107</v>
      </c>
      <c r="D34" s="566" t="s">
        <v>116</v>
      </c>
      <c r="E34" s="566" t="s">
        <v>124</v>
      </c>
      <c r="F34" s="566" t="s">
        <v>132</v>
      </c>
      <c r="G34" s="566" t="s">
        <v>139</v>
      </c>
      <c r="H34" s="566" t="s">
        <v>145</v>
      </c>
      <c r="I34" s="566" t="s">
        <v>150</v>
      </c>
      <c r="J34" s="566" t="s">
        <v>154</v>
      </c>
      <c r="K34" s="566" t="s">
        <v>157</v>
      </c>
      <c r="L34" s="566" t="s">
        <v>160</v>
      </c>
      <c r="M34" s="566" t="s">
        <v>159</v>
      </c>
      <c r="N34" s="605">
        <v>22</v>
      </c>
      <c r="O34" s="43"/>
      <c r="P34" s="609" t="s">
        <v>87</v>
      </c>
      <c r="Q34" s="566" t="s">
        <v>107</v>
      </c>
      <c r="R34" s="566" t="s">
        <v>116</v>
      </c>
      <c r="S34" s="566" t="s">
        <v>124</v>
      </c>
      <c r="T34" s="566" t="s">
        <v>132</v>
      </c>
      <c r="U34" s="566" t="s">
        <v>139</v>
      </c>
      <c r="V34" s="566" t="s">
        <v>145</v>
      </c>
      <c r="W34" s="566" t="s">
        <v>150</v>
      </c>
      <c r="X34" s="566" t="s">
        <v>154</v>
      </c>
      <c r="Y34" s="566" t="s">
        <v>157</v>
      </c>
      <c r="Z34" s="566" t="s">
        <v>160</v>
      </c>
      <c r="AA34" s="566" t="s">
        <v>159</v>
      </c>
      <c r="AB34" s="605">
        <v>22</v>
      </c>
    </row>
  </sheetData>
  <mergeCells count="7">
    <mergeCell ref="B2:G3"/>
    <mergeCell ref="B6:N6"/>
    <mergeCell ref="P6:AB6"/>
    <mergeCell ref="B21:N21"/>
    <mergeCell ref="P21:AB21"/>
    <mergeCell ref="Y3:AA3"/>
    <mergeCell ref="Y4:AA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VolSEP">
                <anchor moveWithCells="1" sizeWithCells="1">
                  <from>
                    <xdr:col>3</xdr:col>
                    <xdr:colOff>238125</xdr:colOff>
                    <xdr:row>1</xdr:row>
                    <xdr:rowOff>57150</xdr:rowOff>
                  </from>
                  <to>
                    <xdr:col>6</xdr:col>
                    <xdr:colOff>57150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9"/>
  <dimension ref="B1:AB42"/>
  <sheetViews>
    <sheetView showGridLines="0" showRowColHeaders="0" zoomScale="80" zoomScaleNormal="80" workbookViewId="0">
      <selection activeCell="F13" sqref="F13"/>
    </sheetView>
  </sheetViews>
  <sheetFormatPr defaultRowHeight="15"/>
  <cols>
    <col min="1" max="1" width="4.855468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4" width="4.7109375" bestFit="1" customWidth="1"/>
    <col min="15" max="15" width="4.85546875" customWidth="1"/>
    <col min="16" max="28" width="4.7109375" customWidth="1"/>
  </cols>
  <sheetData>
    <row r="1" spans="2:28" ht="15.75" thickBot="1"/>
    <row r="2" spans="2:28">
      <c r="B2" s="652"/>
      <c r="C2" s="653"/>
      <c r="D2" s="653"/>
      <c r="E2" s="653"/>
      <c r="F2" s="653"/>
      <c r="G2" s="654"/>
    </row>
    <row r="3" spans="2:28" ht="15.75" thickBot="1">
      <c r="B3" s="655"/>
      <c r="C3" s="656"/>
      <c r="D3" s="656"/>
      <c r="E3" s="656"/>
      <c r="F3" s="656"/>
      <c r="G3" s="657"/>
    </row>
    <row r="4" spans="2:28">
      <c r="B4" s="58"/>
      <c r="C4" s="58"/>
      <c r="D4" s="58"/>
      <c r="E4" s="58"/>
      <c r="F4" s="58"/>
      <c r="G4" s="58"/>
      <c r="P4" s="52"/>
      <c r="Q4" s="790" t="s">
        <v>193</v>
      </c>
      <c r="R4" s="770"/>
      <c r="S4" s="770"/>
      <c r="T4" s="770"/>
      <c r="U4" s="770"/>
      <c r="V4" s="770"/>
      <c r="W4" s="770"/>
      <c r="X4" s="770"/>
      <c r="Y4" s="770"/>
      <c r="Z4" s="770"/>
      <c r="AA4" s="770"/>
      <c r="AB4" s="771"/>
    </row>
    <row r="5" spans="2:28" ht="15.75" thickBot="1">
      <c r="P5" s="56"/>
      <c r="Q5" s="797" t="s">
        <v>194</v>
      </c>
      <c r="R5" s="798"/>
      <c r="S5" s="798"/>
      <c r="T5" s="798"/>
      <c r="U5" s="798"/>
      <c r="V5" s="798"/>
      <c r="W5" s="798"/>
      <c r="X5" s="798"/>
      <c r="Y5" s="798"/>
      <c r="Z5" s="798"/>
      <c r="AA5" s="798"/>
      <c r="AB5" s="799"/>
    </row>
    <row r="6" spans="2:28">
      <c r="B6" s="463"/>
      <c r="C6" s="790" t="s">
        <v>193</v>
      </c>
      <c r="D6" s="770"/>
      <c r="E6" s="770"/>
      <c r="F6" s="770"/>
      <c r="G6" s="770"/>
      <c r="H6" s="770"/>
      <c r="I6" s="770"/>
      <c r="J6" s="770"/>
      <c r="K6" s="770"/>
      <c r="L6" s="770"/>
      <c r="M6" s="770"/>
      <c r="N6" s="771"/>
      <c r="P6" s="57"/>
      <c r="Q6" s="797" t="s">
        <v>195</v>
      </c>
      <c r="R6" s="798"/>
      <c r="S6" s="798"/>
      <c r="T6" s="798"/>
      <c r="U6" s="798"/>
      <c r="V6" s="798"/>
      <c r="W6" s="798"/>
      <c r="X6" s="798"/>
      <c r="Y6" s="798"/>
      <c r="Z6" s="798"/>
      <c r="AA6" s="798"/>
      <c r="AB6" s="799"/>
    </row>
    <row r="7" spans="2:28">
      <c r="B7" s="464"/>
      <c r="C7" s="791" t="s">
        <v>194</v>
      </c>
      <c r="D7" s="792"/>
      <c r="E7" s="792"/>
      <c r="F7" s="792"/>
      <c r="G7" s="792"/>
      <c r="H7" s="792"/>
      <c r="I7" s="792"/>
      <c r="J7" s="792"/>
      <c r="K7" s="792"/>
      <c r="L7" s="792"/>
      <c r="M7" s="792"/>
      <c r="N7" s="793"/>
      <c r="P7" s="53"/>
      <c r="Q7" s="797" t="s">
        <v>196</v>
      </c>
      <c r="R7" s="798"/>
      <c r="S7" s="798"/>
      <c r="T7" s="798"/>
      <c r="U7" s="798"/>
      <c r="V7" s="798"/>
      <c r="W7" s="798"/>
      <c r="X7" s="798"/>
      <c r="Y7" s="798"/>
      <c r="Z7" s="798"/>
      <c r="AA7" s="798"/>
      <c r="AB7" s="799"/>
    </row>
    <row r="8" spans="2:28">
      <c r="B8" s="465"/>
      <c r="C8" s="791" t="s">
        <v>195</v>
      </c>
      <c r="D8" s="792"/>
      <c r="E8" s="792"/>
      <c r="F8" s="792"/>
      <c r="G8" s="792"/>
      <c r="H8" s="792"/>
      <c r="I8" s="792"/>
      <c r="J8" s="792"/>
      <c r="K8" s="792"/>
      <c r="L8" s="792"/>
      <c r="M8" s="792"/>
      <c r="N8" s="793"/>
      <c r="P8" s="54"/>
      <c r="Q8" s="797" t="s">
        <v>197</v>
      </c>
      <c r="R8" s="798"/>
      <c r="S8" s="798"/>
      <c r="T8" s="798"/>
      <c r="U8" s="798"/>
      <c r="V8" s="798"/>
      <c r="W8" s="798"/>
      <c r="X8" s="798"/>
      <c r="Y8" s="798"/>
      <c r="Z8" s="798"/>
      <c r="AA8" s="798"/>
      <c r="AB8" s="799"/>
    </row>
    <row r="9" spans="2:28" ht="15.75" thickBot="1">
      <c r="B9" s="466"/>
      <c r="C9" s="791" t="s">
        <v>196</v>
      </c>
      <c r="D9" s="792"/>
      <c r="E9" s="792"/>
      <c r="F9" s="792"/>
      <c r="G9" s="792"/>
      <c r="H9" s="792"/>
      <c r="I9" s="792"/>
      <c r="J9" s="792"/>
      <c r="K9" s="792"/>
      <c r="L9" s="792"/>
      <c r="M9" s="792"/>
      <c r="N9" s="793"/>
      <c r="P9" s="55"/>
      <c r="Q9" s="800" t="s">
        <v>198</v>
      </c>
      <c r="R9" s="801"/>
      <c r="S9" s="801"/>
      <c r="T9" s="801"/>
      <c r="U9" s="801"/>
      <c r="V9" s="801"/>
      <c r="W9" s="801"/>
      <c r="X9" s="801"/>
      <c r="Y9" s="801"/>
      <c r="Z9" s="801"/>
      <c r="AA9" s="801"/>
      <c r="AB9" s="802"/>
    </row>
    <row r="10" spans="2:28" ht="15.75" thickBot="1">
      <c r="B10" s="467"/>
      <c r="C10" s="794" t="s">
        <v>198</v>
      </c>
      <c r="D10" s="795"/>
      <c r="E10" s="795"/>
      <c r="F10" s="795"/>
      <c r="G10" s="795"/>
      <c r="H10" s="795"/>
      <c r="I10" s="795"/>
      <c r="J10" s="795"/>
      <c r="K10" s="795"/>
      <c r="L10" s="795"/>
      <c r="M10" s="795"/>
      <c r="N10" s="796"/>
    </row>
    <row r="11" spans="2:28" ht="15.75" thickBot="1"/>
    <row r="12" spans="2:28" ht="23.25">
      <c r="B12" s="735" t="s">
        <v>317</v>
      </c>
      <c r="C12" s="736"/>
      <c r="D12" s="736"/>
      <c r="E12" s="736"/>
      <c r="F12" s="736"/>
      <c r="G12" s="736"/>
      <c r="H12" s="736"/>
      <c r="I12" s="736"/>
      <c r="J12" s="736"/>
      <c r="K12" s="736"/>
      <c r="L12" s="736"/>
      <c r="M12" s="736"/>
      <c r="N12" s="737"/>
      <c r="P12" s="647" t="s">
        <v>322</v>
      </c>
      <c r="Q12" s="648"/>
      <c r="R12" s="648"/>
      <c r="S12" s="648"/>
      <c r="T12" s="648"/>
      <c r="U12" s="648"/>
      <c r="V12" s="648"/>
      <c r="W12" s="648"/>
      <c r="X12" s="648"/>
      <c r="Y12" s="648"/>
      <c r="Z12" s="648"/>
      <c r="AA12" s="648"/>
      <c r="AB12" s="650"/>
    </row>
    <row r="13" spans="2:28">
      <c r="B13" s="251" t="s">
        <v>0</v>
      </c>
      <c r="C13" s="17" t="s">
        <v>5</v>
      </c>
      <c r="D13" s="17" t="s">
        <v>6</v>
      </c>
      <c r="E13" s="32" t="s">
        <v>7</v>
      </c>
      <c r="F13" s="32" t="s">
        <v>8</v>
      </c>
      <c r="G13" s="18" t="s">
        <v>9</v>
      </c>
      <c r="H13" s="19" t="s">
        <v>10</v>
      </c>
      <c r="I13" s="19" t="s">
        <v>11</v>
      </c>
      <c r="J13" s="19" t="s">
        <v>12</v>
      </c>
      <c r="K13" s="19" t="s">
        <v>13</v>
      </c>
      <c r="L13" s="20" t="s">
        <v>14</v>
      </c>
      <c r="M13" s="20" t="s">
        <v>15</v>
      </c>
      <c r="N13" s="252" t="s">
        <v>16</v>
      </c>
      <c r="P13" s="251" t="s">
        <v>0</v>
      </c>
      <c r="Q13" s="17" t="s">
        <v>5</v>
      </c>
      <c r="R13" s="17" t="s">
        <v>6</v>
      </c>
      <c r="S13" s="33" t="s">
        <v>7</v>
      </c>
      <c r="T13" s="32" t="s">
        <v>8</v>
      </c>
      <c r="U13" s="32" t="s">
        <v>9</v>
      </c>
      <c r="V13" s="81" t="s">
        <v>10</v>
      </c>
      <c r="W13" s="19" t="s">
        <v>11</v>
      </c>
      <c r="X13" s="19" t="s">
        <v>12</v>
      </c>
      <c r="Y13" s="81" t="s">
        <v>13</v>
      </c>
      <c r="Z13" s="41" t="s">
        <v>14</v>
      </c>
      <c r="AA13" s="41" t="s">
        <v>15</v>
      </c>
      <c r="AB13" s="262" t="s">
        <v>16</v>
      </c>
    </row>
    <row r="14" spans="2:28">
      <c r="B14" s="251" t="s">
        <v>76</v>
      </c>
      <c r="C14" s="17" t="s">
        <v>1</v>
      </c>
      <c r="D14" s="18" t="s">
        <v>95</v>
      </c>
      <c r="E14" s="33" t="s">
        <v>94</v>
      </c>
      <c r="F14" s="32" t="s">
        <v>19</v>
      </c>
      <c r="G14" s="18" t="s">
        <v>20</v>
      </c>
      <c r="H14" s="41" t="s">
        <v>21</v>
      </c>
      <c r="I14" s="20" t="s">
        <v>22</v>
      </c>
      <c r="J14" s="22" t="s">
        <v>23</v>
      </c>
      <c r="K14" s="23" t="s">
        <v>24</v>
      </c>
      <c r="L14" s="23" t="s">
        <v>25</v>
      </c>
      <c r="M14" s="23" t="s">
        <v>26</v>
      </c>
      <c r="N14" s="253" t="s">
        <v>191</v>
      </c>
      <c r="P14" s="251" t="s">
        <v>76</v>
      </c>
      <c r="Q14" s="17" t="s">
        <v>1</v>
      </c>
      <c r="R14" s="18" t="s">
        <v>95</v>
      </c>
      <c r="S14" s="32" t="s">
        <v>94</v>
      </c>
      <c r="T14" s="32" t="s">
        <v>19</v>
      </c>
      <c r="U14" s="81" t="s">
        <v>20</v>
      </c>
      <c r="V14" s="19" t="s">
        <v>21</v>
      </c>
      <c r="W14" s="45" t="s">
        <v>22</v>
      </c>
      <c r="X14" s="46" t="s">
        <v>23</v>
      </c>
      <c r="Y14" s="46" t="s">
        <v>24</v>
      </c>
      <c r="Z14" s="46" t="s">
        <v>25</v>
      </c>
      <c r="AA14" s="46" t="s">
        <v>26</v>
      </c>
      <c r="AB14" s="234" t="s">
        <v>191</v>
      </c>
    </row>
    <row r="15" spans="2:28" ht="15" customHeight="1">
      <c r="B15" s="254" t="s">
        <v>77</v>
      </c>
      <c r="C15" s="24" t="s">
        <v>17</v>
      </c>
      <c r="D15" s="17" t="s">
        <v>2</v>
      </c>
      <c r="E15" s="32" t="s">
        <v>97</v>
      </c>
      <c r="F15" s="32" t="s">
        <v>92</v>
      </c>
      <c r="G15" s="18" t="s">
        <v>96</v>
      </c>
      <c r="H15" s="41" t="s">
        <v>73</v>
      </c>
      <c r="I15" s="23" t="s">
        <v>68</v>
      </c>
      <c r="J15" s="23" t="s">
        <v>62</v>
      </c>
      <c r="K15" s="23" t="s">
        <v>55</v>
      </c>
      <c r="L15" s="23" t="s">
        <v>47</v>
      </c>
      <c r="M15" s="23" t="s">
        <v>38</v>
      </c>
      <c r="N15" s="253" t="s">
        <v>30</v>
      </c>
      <c r="P15" s="254" t="s">
        <v>77</v>
      </c>
      <c r="Q15" s="81" t="s">
        <v>17</v>
      </c>
      <c r="R15" s="17" t="s">
        <v>2</v>
      </c>
      <c r="S15" s="32" t="s">
        <v>97</v>
      </c>
      <c r="T15" s="32" t="s">
        <v>92</v>
      </c>
      <c r="U15" s="81" t="s">
        <v>96</v>
      </c>
      <c r="V15" s="19" t="s">
        <v>73</v>
      </c>
      <c r="W15" s="46" t="s">
        <v>68</v>
      </c>
      <c r="X15" s="46" t="s">
        <v>62</v>
      </c>
      <c r="Y15" s="46" t="s">
        <v>55</v>
      </c>
      <c r="Z15" s="46" t="s">
        <v>47</v>
      </c>
      <c r="AA15" s="46" t="s">
        <v>38</v>
      </c>
      <c r="AB15" s="234" t="s">
        <v>30</v>
      </c>
    </row>
    <row r="16" spans="2:28" ht="15" customHeight="1">
      <c r="B16" s="255" t="s">
        <v>78</v>
      </c>
      <c r="C16" s="19" t="s">
        <v>18</v>
      </c>
      <c r="D16" s="19" t="s">
        <v>93</v>
      </c>
      <c r="E16" s="17" t="s">
        <v>3</v>
      </c>
      <c r="F16" s="32" t="s">
        <v>91</v>
      </c>
      <c r="G16" s="42" t="s">
        <v>90</v>
      </c>
      <c r="H16" s="20" t="s">
        <v>74</v>
      </c>
      <c r="I16" s="23" t="s">
        <v>69</v>
      </c>
      <c r="J16" s="23" t="s">
        <v>63</v>
      </c>
      <c r="K16" s="23" t="s">
        <v>56</v>
      </c>
      <c r="L16" s="23" t="s">
        <v>48</v>
      </c>
      <c r="M16" s="23" t="s">
        <v>39</v>
      </c>
      <c r="N16" s="253" t="s">
        <v>28</v>
      </c>
      <c r="P16" s="263" t="s">
        <v>78</v>
      </c>
      <c r="Q16" s="81" t="s">
        <v>18</v>
      </c>
      <c r="R16" s="19" t="s">
        <v>93</v>
      </c>
      <c r="S16" s="17" t="s">
        <v>3</v>
      </c>
      <c r="T16" s="32" t="s">
        <v>91</v>
      </c>
      <c r="U16" s="41" t="s">
        <v>90</v>
      </c>
      <c r="V16" s="45" t="s">
        <v>74</v>
      </c>
      <c r="W16" s="46" t="s">
        <v>69</v>
      </c>
      <c r="X16" s="46" t="s">
        <v>63</v>
      </c>
      <c r="Y16" s="46" t="s">
        <v>56</v>
      </c>
      <c r="Z16" s="46" t="s">
        <v>48</v>
      </c>
      <c r="AA16" s="46" t="s">
        <v>39</v>
      </c>
      <c r="AB16" s="234" t="s">
        <v>28</v>
      </c>
    </row>
    <row r="17" spans="2:28" ht="15" customHeight="1">
      <c r="B17" s="256" t="s">
        <v>79</v>
      </c>
      <c r="C17" s="41" t="s">
        <v>98</v>
      </c>
      <c r="D17" s="26" t="s">
        <v>99</v>
      </c>
      <c r="E17" s="22" t="s">
        <v>100</v>
      </c>
      <c r="F17" s="17" t="s">
        <v>4</v>
      </c>
      <c r="G17" s="18" t="s">
        <v>89</v>
      </c>
      <c r="H17" s="20" t="s">
        <v>75</v>
      </c>
      <c r="I17" s="23" t="s">
        <v>70</v>
      </c>
      <c r="J17" s="23" t="s">
        <v>64</v>
      </c>
      <c r="K17" s="23" t="s">
        <v>57</v>
      </c>
      <c r="L17" s="23" t="s">
        <v>49</v>
      </c>
      <c r="M17" s="23" t="s">
        <v>40</v>
      </c>
      <c r="N17" s="253" t="s">
        <v>29</v>
      </c>
      <c r="P17" s="263" t="s">
        <v>79</v>
      </c>
      <c r="Q17" s="19" t="s">
        <v>98</v>
      </c>
      <c r="R17" s="123" t="s">
        <v>99</v>
      </c>
      <c r="S17" s="46" t="s">
        <v>100</v>
      </c>
      <c r="T17" s="17" t="s">
        <v>4</v>
      </c>
      <c r="U17" s="18" t="s">
        <v>89</v>
      </c>
      <c r="V17" s="41" t="s">
        <v>75</v>
      </c>
      <c r="W17" s="46" t="s">
        <v>70</v>
      </c>
      <c r="X17" s="46" t="s">
        <v>64</v>
      </c>
      <c r="Y17" s="46" t="s">
        <v>57</v>
      </c>
      <c r="Z17" s="46" t="s">
        <v>49</v>
      </c>
      <c r="AA17" s="46" t="s">
        <v>40</v>
      </c>
      <c r="AB17" s="234" t="s">
        <v>29</v>
      </c>
    </row>
    <row r="18" spans="2:28" ht="15" customHeight="1">
      <c r="B18" s="257" t="s">
        <v>80</v>
      </c>
      <c r="C18" s="23" t="s">
        <v>101</v>
      </c>
      <c r="D18" s="23" t="s">
        <v>109</v>
      </c>
      <c r="E18" s="23" t="s">
        <v>117</v>
      </c>
      <c r="F18" s="23" t="s">
        <v>125</v>
      </c>
      <c r="G18" s="27">
        <v>99</v>
      </c>
      <c r="H18" s="28" t="s">
        <v>88</v>
      </c>
      <c r="I18" s="23" t="s">
        <v>71</v>
      </c>
      <c r="J18" s="23" t="s">
        <v>65</v>
      </c>
      <c r="K18" s="23" t="s">
        <v>58</v>
      </c>
      <c r="L18" s="23" t="s">
        <v>50</v>
      </c>
      <c r="M18" s="23" t="s">
        <v>41</v>
      </c>
      <c r="N18" s="253" t="s">
        <v>31</v>
      </c>
      <c r="P18" s="264" t="s">
        <v>80</v>
      </c>
      <c r="Q18" s="46" t="s">
        <v>101</v>
      </c>
      <c r="R18" s="46" t="s">
        <v>109</v>
      </c>
      <c r="S18" s="46" t="s">
        <v>117</v>
      </c>
      <c r="T18" s="46" t="s">
        <v>125</v>
      </c>
      <c r="U18" s="27">
        <v>99</v>
      </c>
      <c r="V18" s="50" t="s">
        <v>88</v>
      </c>
      <c r="W18" s="46" t="s">
        <v>71</v>
      </c>
      <c r="X18" s="46" t="s">
        <v>65</v>
      </c>
      <c r="Y18" s="46" t="s">
        <v>58</v>
      </c>
      <c r="Z18" s="46" t="s">
        <v>50</v>
      </c>
      <c r="AA18" s="46" t="s">
        <v>41</v>
      </c>
      <c r="AB18" s="234" t="s">
        <v>31</v>
      </c>
    </row>
    <row r="19" spans="2:28" ht="15" customHeight="1">
      <c r="B19" s="257" t="s">
        <v>81</v>
      </c>
      <c r="C19" s="23" t="s">
        <v>102</v>
      </c>
      <c r="D19" s="23" t="s">
        <v>110</v>
      </c>
      <c r="E19" s="23" t="s">
        <v>118</v>
      </c>
      <c r="F19" s="23" t="s">
        <v>126</v>
      </c>
      <c r="G19" s="23" t="s">
        <v>133</v>
      </c>
      <c r="H19" s="27">
        <v>88</v>
      </c>
      <c r="I19" s="23" t="s">
        <v>72</v>
      </c>
      <c r="J19" s="23" t="s">
        <v>66</v>
      </c>
      <c r="K19" s="23" t="s">
        <v>59</v>
      </c>
      <c r="L19" s="23" t="s">
        <v>51</v>
      </c>
      <c r="M19" s="23" t="s">
        <v>42</v>
      </c>
      <c r="N19" s="253" t="s">
        <v>32</v>
      </c>
      <c r="P19" s="238" t="s">
        <v>81</v>
      </c>
      <c r="Q19" s="46" t="s">
        <v>102</v>
      </c>
      <c r="R19" s="46" t="s">
        <v>110</v>
      </c>
      <c r="S19" s="46" t="s">
        <v>118</v>
      </c>
      <c r="T19" s="46" t="s">
        <v>126</v>
      </c>
      <c r="U19" s="46" t="s">
        <v>133</v>
      </c>
      <c r="V19" s="27">
        <v>88</v>
      </c>
      <c r="W19" s="46" t="s">
        <v>72</v>
      </c>
      <c r="X19" s="46" t="s">
        <v>66</v>
      </c>
      <c r="Y19" s="46" t="s">
        <v>59</v>
      </c>
      <c r="Z19" s="46" t="s">
        <v>51</v>
      </c>
      <c r="AA19" s="46" t="s">
        <v>42</v>
      </c>
      <c r="AB19" s="234" t="s">
        <v>32</v>
      </c>
    </row>
    <row r="20" spans="2:28" ht="15" customHeight="1">
      <c r="B20" s="258" t="s">
        <v>82</v>
      </c>
      <c r="C20" s="23" t="s">
        <v>103</v>
      </c>
      <c r="D20" s="23" t="s">
        <v>111</v>
      </c>
      <c r="E20" s="23" t="s">
        <v>119</v>
      </c>
      <c r="F20" s="23" t="s">
        <v>127</v>
      </c>
      <c r="G20" s="23" t="s">
        <v>134</v>
      </c>
      <c r="H20" s="23" t="s">
        <v>140</v>
      </c>
      <c r="I20" s="35">
        <v>77</v>
      </c>
      <c r="J20" s="23" t="s">
        <v>67</v>
      </c>
      <c r="K20" s="23" t="s">
        <v>60</v>
      </c>
      <c r="L20" s="23" t="s">
        <v>52</v>
      </c>
      <c r="M20" s="23" t="s">
        <v>43</v>
      </c>
      <c r="N20" s="253" t="s">
        <v>33</v>
      </c>
      <c r="P20" s="238" t="s">
        <v>82</v>
      </c>
      <c r="Q20" s="46" t="s">
        <v>103</v>
      </c>
      <c r="R20" s="46" t="s">
        <v>111</v>
      </c>
      <c r="S20" s="46" t="s">
        <v>119</v>
      </c>
      <c r="T20" s="46" t="s">
        <v>127</v>
      </c>
      <c r="U20" s="46" t="s">
        <v>134</v>
      </c>
      <c r="V20" s="46" t="s">
        <v>140</v>
      </c>
      <c r="W20" s="189">
        <v>77</v>
      </c>
      <c r="X20" s="46" t="s">
        <v>67</v>
      </c>
      <c r="Y20" s="46" t="s">
        <v>60</v>
      </c>
      <c r="Z20" s="46" t="s">
        <v>52</v>
      </c>
      <c r="AA20" s="46" t="s">
        <v>43</v>
      </c>
      <c r="AB20" s="234" t="s">
        <v>33</v>
      </c>
    </row>
    <row r="21" spans="2:28" ht="15" customHeight="1">
      <c r="B21" s="258" t="s">
        <v>83</v>
      </c>
      <c r="C21" s="23" t="s">
        <v>108</v>
      </c>
      <c r="D21" s="23" t="s">
        <v>112</v>
      </c>
      <c r="E21" s="23" t="s">
        <v>120</v>
      </c>
      <c r="F21" s="23" t="s">
        <v>128</v>
      </c>
      <c r="G21" s="23" t="s">
        <v>135</v>
      </c>
      <c r="H21" s="23" t="s">
        <v>141</v>
      </c>
      <c r="I21" s="23" t="s">
        <v>146</v>
      </c>
      <c r="J21" s="29">
        <v>66</v>
      </c>
      <c r="K21" s="23" t="s">
        <v>61</v>
      </c>
      <c r="L21" s="23" t="s">
        <v>53</v>
      </c>
      <c r="M21" s="23" t="s">
        <v>44</v>
      </c>
      <c r="N21" s="253" t="s">
        <v>34</v>
      </c>
      <c r="P21" s="238" t="s">
        <v>83</v>
      </c>
      <c r="Q21" s="46" t="s">
        <v>108</v>
      </c>
      <c r="R21" s="46" t="s">
        <v>112</v>
      </c>
      <c r="S21" s="46" t="s">
        <v>120</v>
      </c>
      <c r="T21" s="46" t="s">
        <v>128</v>
      </c>
      <c r="U21" s="46" t="s">
        <v>135</v>
      </c>
      <c r="V21" s="46" t="s">
        <v>141</v>
      </c>
      <c r="W21" s="46" t="s">
        <v>146</v>
      </c>
      <c r="X21" s="183">
        <v>66</v>
      </c>
      <c r="Y21" s="46" t="s">
        <v>61</v>
      </c>
      <c r="Z21" s="46" t="s">
        <v>53</v>
      </c>
      <c r="AA21" s="46" t="s">
        <v>44</v>
      </c>
      <c r="AB21" s="234" t="s">
        <v>34</v>
      </c>
    </row>
    <row r="22" spans="2:28" ht="15" customHeight="1">
      <c r="B22" s="258" t="s">
        <v>84</v>
      </c>
      <c r="C22" s="23" t="s">
        <v>104</v>
      </c>
      <c r="D22" s="23" t="s">
        <v>113</v>
      </c>
      <c r="E22" s="23" t="s">
        <v>121</v>
      </c>
      <c r="F22" s="23" t="s">
        <v>129</v>
      </c>
      <c r="G22" s="23" t="s">
        <v>136</v>
      </c>
      <c r="H22" s="23" t="s">
        <v>142</v>
      </c>
      <c r="I22" s="23" t="s">
        <v>147</v>
      </c>
      <c r="J22" s="23" t="s">
        <v>151</v>
      </c>
      <c r="K22" s="29">
        <v>55</v>
      </c>
      <c r="L22" s="23" t="s">
        <v>54</v>
      </c>
      <c r="M22" s="23" t="s">
        <v>45</v>
      </c>
      <c r="N22" s="253" t="s">
        <v>35</v>
      </c>
      <c r="P22" s="238" t="s">
        <v>84</v>
      </c>
      <c r="Q22" s="46" t="s">
        <v>104</v>
      </c>
      <c r="R22" s="46" t="s">
        <v>113</v>
      </c>
      <c r="S22" s="46" t="s">
        <v>121</v>
      </c>
      <c r="T22" s="46" t="s">
        <v>129</v>
      </c>
      <c r="U22" s="46" t="s">
        <v>136</v>
      </c>
      <c r="V22" s="46" t="s">
        <v>142</v>
      </c>
      <c r="W22" s="46" t="s">
        <v>147</v>
      </c>
      <c r="X22" s="46" t="s">
        <v>151</v>
      </c>
      <c r="Y22" s="190">
        <v>55</v>
      </c>
      <c r="Z22" s="46" t="s">
        <v>54</v>
      </c>
      <c r="AA22" s="46" t="s">
        <v>45</v>
      </c>
      <c r="AB22" s="234" t="s">
        <v>35</v>
      </c>
    </row>
    <row r="23" spans="2:28" ht="15" customHeight="1">
      <c r="B23" s="258" t="s">
        <v>85</v>
      </c>
      <c r="C23" s="23" t="s">
        <v>105</v>
      </c>
      <c r="D23" s="23" t="s">
        <v>114</v>
      </c>
      <c r="E23" s="23" t="s">
        <v>122</v>
      </c>
      <c r="F23" s="23" t="s">
        <v>130</v>
      </c>
      <c r="G23" s="23" t="s">
        <v>137</v>
      </c>
      <c r="H23" s="23" t="s">
        <v>143</v>
      </c>
      <c r="I23" s="23" t="s">
        <v>148</v>
      </c>
      <c r="J23" s="23" t="s">
        <v>152</v>
      </c>
      <c r="K23" s="23" t="s">
        <v>155</v>
      </c>
      <c r="L23" s="23">
        <v>44</v>
      </c>
      <c r="M23" s="23" t="s">
        <v>46</v>
      </c>
      <c r="N23" s="253" t="s">
        <v>36</v>
      </c>
      <c r="P23" s="238" t="s">
        <v>85</v>
      </c>
      <c r="Q23" s="46" t="s">
        <v>105</v>
      </c>
      <c r="R23" s="46" t="s">
        <v>114</v>
      </c>
      <c r="S23" s="46" t="s">
        <v>122</v>
      </c>
      <c r="T23" s="46" t="s">
        <v>130</v>
      </c>
      <c r="U23" s="46" t="s">
        <v>137</v>
      </c>
      <c r="V23" s="46" t="s">
        <v>143</v>
      </c>
      <c r="W23" s="46" t="s">
        <v>148</v>
      </c>
      <c r="X23" s="46" t="s">
        <v>152</v>
      </c>
      <c r="Y23" s="46" t="s">
        <v>155</v>
      </c>
      <c r="Z23" s="30">
        <v>44</v>
      </c>
      <c r="AA23" s="46" t="s">
        <v>46</v>
      </c>
      <c r="AB23" s="234" t="s">
        <v>36</v>
      </c>
    </row>
    <row r="24" spans="2:28" ht="15" customHeight="1">
      <c r="B24" s="258" t="s">
        <v>86</v>
      </c>
      <c r="C24" s="23" t="s">
        <v>106</v>
      </c>
      <c r="D24" s="23" t="s">
        <v>115</v>
      </c>
      <c r="E24" s="23" t="s">
        <v>123</v>
      </c>
      <c r="F24" s="23" t="s">
        <v>131</v>
      </c>
      <c r="G24" s="23" t="s">
        <v>138</v>
      </c>
      <c r="H24" s="23" t="s">
        <v>144</v>
      </c>
      <c r="I24" s="23" t="s">
        <v>149</v>
      </c>
      <c r="J24" s="23" t="s">
        <v>153</v>
      </c>
      <c r="K24" s="23" t="s">
        <v>156</v>
      </c>
      <c r="L24" s="23" t="s">
        <v>158</v>
      </c>
      <c r="M24" s="23">
        <v>33</v>
      </c>
      <c r="N24" s="253" t="s">
        <v>37</v>
      </c>
      <c r="P24" s="238" t="s">
        <v>86</v>
      </c>
      <c r="Q24" s="46" t="s">
        <v>106</v>
      </c>
      <c r="R24" s="46" t="s">
        <v>115</v>
      </c>
      <c r="S24" s="46" t="s">
        <v>123</v>
      </c>
      <c r="T24" s="46" t="s">
        <v>131</v>
      </c>
      <c r="U24" s="46" t="s">
        <v>138</v>
      </c>
      <c r="V24" s="46" t="s">
        <v>144</v>
      </c>
      <c r="W24" s="46" t="s">
        <v>149</v>
      </c>
      <c r="X24" s="46" t="s">
        <v>153</v>
      </c>
      <c r="Y24" s="46" t="s">
        <v>156</v>
      </c>
      <c r="Z24" s="46" t="s">
        <v>158</v>
      </c>
      <c r="AA24" s="30">
        <v>33</v>
      </c>
      <c r="AB24" s="234" t="s">
        <v>37</v>
      </c>
    </row>
    <row r="25" spans="2:28" ht="15" customHeight="1" thickBot="1">
      <c r="B25" s="259" t="s">
        <v>87</v>
      </c>
      <c r="C25" s="260" t="s">
        <v>107</v>
      </c>
      <c r="D25" s="260" t="s">
        <v>116</v>
      </c>
      <c r="E25" s="260" t="s">
        <v>124</v>
      </c>
      <c r="F25" s="260" t="s">
        <v>132</v>
      </c>
      <c r="G25" s="260" t="s">
        <v>139</v>
      </c>
      <c r="H25" s="260" t="s">
        <v>145</v>
      </c>
      <c r="I25" s="260" t="s">
        <v>150</v>
      </c>
      <c r="J25" s="260" t="s">
        <v>154</v>
      </c>
      <c r="K25" s="260" t="s">
        <v>157</v>
      </c>
      <c r="L25" s="260" t="s">
        <v>160</v>
      </c>
      <c r="M25" s="260" t="s">
        <v>159</v>
      </c>
      <c r="N25" s="261">
        <v>22</v>
      </c>
      <c r="P25" s="239" t="s">
        <v>87</v>
      </c>
      <c r="Q25" s="240" t="s">
        <v>107</v>
      </c>
      <c r="R25" s="240" t="s">
        <v>116</v>
      </c>
      <c r="S25" s="240" t="s">
        <v>124</v>
      </c>
      <c r="T25" s="240" t="s">
        <v>132</v>
      </c>
      <c r="U25" s="240" t="s">
        <v>139</v>
      </c>
      <c r="V25" s="240" t="s">
        <v>145</v>
      </c>
      <c r="W25" s="240" t="s">
        <v>150</v>
      </c>
      <c r="X25" s="240" t="s">
        <v>154</v>
      </c>
      <c r="Y25" s="240" t="s">
        <v>157</v>
      </c>
      <c r="Z25" s="240" t="s">
        <v>160</v>
      </c>
      <c r="AA25" s="240" t="s">
        <v>159</v>
      </c>
      <c r="AB25" s="265">
        <v>22</v>
      </c>
    </row>
    <row r="26" spans="2:28" ht="15" customHeight="1" thickBot="1"/>
    <row r="27" spans="2:28" ht="15" customHeight="1">
      <c r="B27" s="735" t="s">
        <v>318</v>
      </c>
      <c r="C27" s="736"/>
      <c r="D27" s="736"/>
      <c r="E27" s="736"/>
      <c r="F27" s="736"/>
      <c r="G27" s="736"/>
      <c r="H27" s="736"/>
      <c r="I27" s="736"/>
      <c r="J27" s="736"/>
      <c r="K27" s="736"/>
      <c r="L27" s="736"/>
      <c r="M27" s="736"/>
      <c r="N27" s="737"/>
      <c r="P27" s="647" t="s">
        <v>323</v>
      </c>
      <c r="Q27" s="648"/>
      <c r="R27" s="648"/>
      <c r="S27" s="648"/>
      <c r="T27" s="648"/>
      <c r="U27" s="648"/>
      <c r="V27" s="648"/>
      <c r="W27" s="648"/>
      <c r="X27" s="648"/>
      <c r="Y27" s="648"/>
      <c r="Z27" s="648"/>
      <c r="AA27" s="648"/>
      <c r="AB27" s="650"/>
    </row>
    <row r="28" spans="2:28" ht="15" customHeight="1">
      <c r="B28" s="251" t="s">
        <v>0</v>
      </c>
      <c r="C28" s="17" t="s">
        <v>5</v>
      </c>
      <c r="D28" s="17" t="s">
        <v>6</v>
      </c>
      <c r="E28" s="32" t="s">
        <v>7</v>
      </c>
      <c r="F28" s="32" t="s">
        <v>8</v>
      </c>
      <c r="G28" s="32" t="s">
        <v>9</v>
      </c>
      <c r="H28" s="32" t="s">
        <v>10</v>
      </c>
      <c r="I28" s="19" t="s">
        <v>11</v>
      </c>
      <c r="J28" s="19" t="s">
        <v>12</v>
      </c>
      <c r="K28" s="32" t="s">
        <v>13</v>
      </c>
      <c r="L28" s="20" t="s">
        <v>14</v>
      </c>
      <c r="M28" s="20" t="s">
        <v>15</v>
      </c>
      <c r="N28" s="252" t="s">
        <v>16</v>
      </c>
      <c r="P28" s="251" t="s">
        <v>0</v>
      </c>
      <c r="Q28" s="17" t="s">
        <v>5</v>
      </c>
      <c r="R28" s="17" t="s">
        <v>6</v>
      </c>
      <c r="S28" s="18" t="s">
        <v>7</v>
      </c>
      <c r="T28" s="18" t="s">
        <v>8</v>
      </c>
      <c r="U28" s="79" t="s">
        <v>9</v>
      </c>
      <c r="V28" s="78" t="s">
        <v>10</v>
      </c>
      <c r="W28" s="81" t="s">
        <v>11</v>
      </c>
      <c r="X28" s="81" t="s">
        <v>12</v>
      </c>
      <c r="Y28" s="81" t="s">
        <v>13</v>
      </c>
      <c r="Z28" s="81" t="s">
        <v>14</v>
      </c>
      <c r="AA28" s="81" t="s">
        <v>15</v>
      </c>
      <c r="AB28" s="276" t="s">
        <v>16</v>
      </c>
    </row>
    <row r="29" spans="2:28" ht="15" customHeight="1">
      <c r="B29" s="251" t="s">
        <v>76</v>
      </c>
      <c r="C29" s="17" t="s">
        <v>1</v>
      </c>
      <c r="D29" s="18" t="s">
        <v>95</v>
      </c>
      <c r="E29" s="33" t="s">
        <v>94</v>
      </c>
      <c r="F29" s="32" t="s">
        <v>19</v>
      </c>
      <c r="G29" s="32" t="s">
        <v>20</v>
      </c>
      <c r="H29" s="41" t="s">
        <v>21</v>
      </c>
      <c r="I29" s="20" t="s">
        <v>22</v>
      </c>
      <c r="J29" s="22" t="s">
        <v>23</v>
      </c>
      <c r="K29" s="23" t="s">
        <v>24</v>
      </c>
      <c r="L29" s="23" t="s">
        <v>25</v>
      </c>
      <c r="M29" s="23" t="s">
        <v>26</v>
      </c>
      <c r="N29" s="253" t="s">
        <v>191</v>
      </c>
      <c r="P29" s="251" t="s">
        <v>76</v>
      </c>
      <c r="Q29" s="17" t="s">
        <v>1</v>
      </c>
      <c r="R29" s="18" t="s">
        <v>95</v>
      </c>
      <c r="S29" s="187" t="s">
        <v>94</v>
      </c>
      <c r="T29" s="79" t="s">
        <v>19</v>
      </c>
      <c r="U29" s="32" t="s">
        <v>20</v>
      </c>
      <c r="V29" s="19" t="s">
        <v>21</v>
      </c>
      <c r="W29" s="41" t="s">
        <v>22</v>
      </c>
      <c r="X29" s="23" t="s">
        <v>23</v>
      </c>
      <c r="Y29" s="23" t="s">
        <v>24</v>
      </c>
      <c r="Z29" s="23" t="s">
        <v>25</v>
      </c>
      <c r="AA29" s="23" t="s">
        <v>26</v>
      </c>
      <c r="AB29" s="253" t="s">
        <v>191</v>
      </c>
    </row>
    <row r="30" spans="2:28" ht="15" customHeight="1">
      <c r="B30" s="254" t="s">
        <v>77</v>
      </c>
      <c r="C30" s="33" t="s">
        <v>17</v>
      </c>
      <c r="D30" s="17" t="s">
        <v>2</v>
      </c>
      <c r="E30" s="32" t="s">
        <v>97</v>
      </c>
      <c r="F30" s="32" t="s">
        <v>92</v>
      </c>
      <c r="G30" s="18" t="s">
        <v>96</v>
      </c>
      <c r="H30" s="41" t="s">
        <v>73</v>
      </c>
      <c r="I30" s="23" t="s">
        <v>68</v>
      </c>
      <c r="J30" s="23" t="s">
        <v>62</v>
      </c>
      <c r="K30" s="23" t="s">
        <v>55</v>
      </c>
      <c r="L30" s="23" t="s">
        <v>47</v>
      </c>
      <c r="M30" s="23" t="s">
        <v>38</v>
      </c>
      <c r="N30" s="253" t="s">
        <v>30</v>
      </c>
      <c r="P30" s="277" t="s">
        <v>77</v>
      </c>
      <c r="Q30" s="78" t="s">
        <v>17</v>
      </c>
      <c r="R30" s="17" t="s">
        <v>2</v>
      </c>
      <c r="S30" s="79" t="s">
        <v>97</v>
      </c>
      <c r="T30" s="79" t="s">
        <v>92</v>
      </c>
      <c r="U30" s="32" t="s">
        <v>96</v>
      </c>
      <c r="V30" s="19" t="s">
        <v>73</v>
      </c>
      <c r="W30" s="23" t="s">
        <v>68</v>
      </c>
      <c r="X30" s="23" t="s">
        <v>62</v>
      </c>
      <c r="Y30" s="23" t="s">
        <v>55</v>
      </c>
      <c r="Z30" s="23" t="s">
        <v>47</v>
      </c>
      <c r="AA30" s="23" t="s">
        <v>38</v>
      </c>
      <c r="AB30" s="253" t="s">
        <v>30</v>
      </c>
    </row>
    <row r="31" spans="2:28" ht="15" customHeight="1">
      <c r="B31" s="255" t="s">
        <v>78</v>
      </c>
      <c r="C31" s="19" t="s">
        <v>18</v>
      </c>
      <c r="D31" s="19" t="s">
        <v>93</v>
      </c>
      <c r="E31" s="17" t="s">
        <v>3</v>
      </c>
      <c r="F31" s="32" t="s">
        <v>91</v>
      </c>
      <c r="G31" s="42" t="s">
        <v>90</v>
      </c>
      <c r="H31" s="20" t="s">
        <v>74</v>
      </c>
      <c r="I31" s="23" t="s">
        <v>69</v>
      </c>
      <c r="J31" s="23" t="s">
        <v>63</v>
      </c>
      <c r="K31" s="23" t="s">
        <v>56</v>
      </c>
      <c r="L31" s="23" t="s">
        <v>48</v>
      </c>
      <c r="M31" s="23" t="s">
        <v>39</v>
      </c>
      <c r="N31" s="253" t="s">
        <v>28</v>
      </c>
      <c r="P31" s="278" t="s">
        <v>78</v>
      </c>
      <c r="Q31" s="81" t="s">
        <v>18</v>
      </c>
      <c r="R31" s="19" t="s">
        <v>93</v>
      </c>
      <c r="S31" s="17" t="s">
        <v>3</v>
      </c>
      <c r="T31" s="79" t="s">
        <v>91</v>
      </c>
      <c r="U31" s="32" t="s">
        <v>90</v>
      </c>
      <c r="V31" s="22" t="s">
        <v>74</v>
      </c>
      <c r="W31" s="23" t="s">
        <v>69</v>
      </c>
      <c r="X31" s="23" t="s">
        <v>63</v>
      </c>
      <c r="Y31" s="23" t="s">
        <v>56</v>
      </c>
      <c r="Z31" s="23" t="s">
        <v>48</v>
      </c>
      <c r="AA31" s="23" t="s">
        <v>39</v>
      </c>
      <c r="AB31" s="253" t="s">
        <v>28</v>
      </c>
    </row>
    <row r="32" spans="2:28" ht="15" customHeight="1">
      <c r="B32" s="256" t="s">
        <v>79</v>
      </c>
      <c r="C32" s="41" t="s">
        <v>98</v>
      </c>
      <c r="D32" s="41" t="s">
        <v>99</v>
      </c>
      <c r="E32" s="22" t="s">
        <v>100</v>
      </c>
      <c r="F32" s="17" t="s">
        <v>4</v>
      </c>
      <c r="G32" s="18" t="s">
        <v>89</v>
      </c>
      <c r="H32" s="20" t="s">
        <v>75</v>
      </c>
      <c r="I32" s="23" t="s">
        <v>70</v>
      </c>
      <c r="J32" s="23" t="s">
        <v>64</v>
      </c>
      <c r="K32" s="23" t="s">
        <v>57</v>
      </c>
      <c r="L32" s="23" t="s">
        <v>49</v>
      </c>
      <c r="M32" s="23" t="s">
        <v>40</v>
      </c>
      <c r="N32" s="253" t="s">
        <v>29</v>
      </c>
      <c r="P32" s="279" t="s">
        <v>79</v>
      </c>
      <c r="Q32" s="19" t="s">
        <v>98</v>
      </c>
      <c r="R32" s="48" t="s">
        <v>99</v>
      </c>
      <c r="S32" s="123" t="s">
        <v>100</v>
      </c>
      <c r="T32" s="17" t="s">
        <v>4</v>
      </c>
      <c r="U32" s="32" t="s">
        <v>89</v>
      </c>
      <c r="V32" s="20" t="s">
        <v>75</v>
      </c>
      <c r="W32" s="23" t="s">
        <v>70</v>
      </c>
      <c r="X32" s="23" t="s">
        <v>64</v>
      </c>
      <c r="Y32" s="23" t="s">
        <v>57</v>
      </c>
      <c r="Z32" s="23" t="s">
        <v>49</v>
      </c>
      <c r="AA32" s="23" t="s">
        <v>40</v>
      </c>
      <c r="AB32" s="253" t="s">
        <v>29</v>
      </c>
    </row>
    <row r="33" spans="2:28" ht="15" customHeight="1">
      <c r="B33" s="257" t="s">
        <v>80</v>
      </c>
      <c r="C33" s="23" t="s">
        <v>101</v>
      </c>
      <c r="D33" s="23" t="s">
        <v>109</v>
      </c>
      <c r="E33" s="23" t="s">
        <v>117</v>
      </c>
      <c r="F33" s="23" t="s">
        <v>125</v>
      </c>
      <c r="G33" s="27">
        <v>99</v>
      </c>
      <c r="H33" s="28" t="s">
        <v>88</v>
      </c>
      <c r="I33" s="23" t="s">
        <v>71</v>
      </c>
      <c r="J33" s="23" t="s">
        <v>65</v>
      </c>
      <c r="K33" s="23" t="s">
        <v>58</v>
      </c>
      <c r="L33" s="23" t="s">
        <v>50</v>
      </c>
      <c r="M33" s="23" t="s">
        <v>41</v>
      </c>
      <c r="N33" s="253" t="s">
        <v>31</v>
      </c>
      <c r="P33" s="256" t="s">
        <v>80</v>
      </c>
      <c r="Q33" s="23" t="s">
        <v>101</v>
      </c>
      <c r="R33" s="23" t="s">
        <v>109</v>
      </c>
      <c r="S33" s="23" t="s">
        <v>117</v>
      </c>
      <c r="T33" s="23" t="s">
        <v>125</v>
      </c>
      <c r="U33" s="27">
        <v>99</v>
      </c>
      <c r="V33" s="28" t="s">
        <v>88</v>
      </c>
      <c r="W33" s="23" t="s">
        <v>71</v>
      </c>
      <c r="X33" s="23" t="s">
        <v>65</v>
      </c>
      <c r="Y33" s="23" t="s">
        <v>58</v>
      </c>
      <c r="Z33" s="23" t="s">
        <v>50</v>
      </c>
      <c r="AA33" s="23" t="s">
        <v>41</v>
      </c>
      <c r="AB33" s="253" t="s">
        <v>31</v>
      </c>
    </row>
    <row r="34" spans="2:28" ht="15" customHeight="1">
      <c r="B34" s="257" t="s">
        <v>81</v>
      </c>
      <c r="C34" s="23" t="s">
        <v>102</v>
      </c>
      <c r="D34" s="23" t="s">
        <v>110</v>
      </c>
      <c r="E34" s="23" t="s">
        <v>118</v>
      </c>
      <c r="F34" s="23" t="s">
        <v>126</v>
      </c>
      <c r="G34" s="23" t="s">
        <v>133</v>
      </c>
      <c r="H34" s="27">
        <v>88</v>
      </c>
      <c r="I34" s="23" t="s">
        <v>72</v>
      </c>
      <c r="J34" s="23" t="s">
        <v>66</v>
      </c>
      <c r="K34" s="23" t="s">
        <v>59</v>
      </c>
      <c r="L34" s="23" t="s">
        <v>51</v>
      </c>
      <c r="M34" s="23" t="s">
        <v>42</v>
      </c>
      <c r="N34" s="253" t="s">
        <v>32</v>
      </c>
      <c r="P34" s="272" t="s">
        <v>81</v>
      </c>
      <c r="Q34" s="23" t="s">
        <v>102</v>
      </c>
      <c r="R34" s="23" t="s">
        <v>110</v>
      </c>
      <c r="S34" s="23" t="s">
        <v>118</v>
      </c>
      <c r="T34" s="23" t="s">
        <v>126</v>
      </c>
      <c r="U34" s="23" t="s">
        <v>133</v>
      </c>
      <c r="V34" s="27">
        <v>88</v>
      </c>
      <c r="W34" s="23" t="s">
        <v>72</v>
      </c>
      <c r="X34" s="23" t="s">
        <v>66</v>
      </c>
      <c r="Y34" s="23" t="s">
        <v>59</v>
      </c>
      <c r="Z34" s="23" t="s">
        <v>51</v>
      </c>
      <c r="AA34" s="23" t="s">
        <v>42</v>
      </c>
      <c r="AB34" s="253" t="s">
        <v>32</v>
      </c>
    </row>
    <row r="35" spans="2:28" ht="15" customHeight="1">
      <c r="B35" s="258" t="s">
        <v>82</v>
      </c>
      <c r="C35" s="23" t="s">
        <v>103</v>
      </c>
      <c r="D35" s="23" t="s">
        <v>111</v>
      </c>
      <c r="E35" s="23" t="s">
        <v>119</v>
      </c>
      <c r="F35" s="23" t="s">
        <v>127</v>
      </c>
      <c r="G35" s="23" t="s">
        <v>134</v>
      </c>
      <c r="H35" s="23" t="s">
        <v>140</v>
      </c>
      <c r="I35" s="35">
        <v>77</v>
      </c>
      <c r="J35" s="23" t="s">
        <v>67</v>
      </c>
      <c r="K35" s="23" t="s">
        <v>60</v>
      </c>
      <c r="L35" s="23" t="s">
        <v>52</v>
      </c>
      <c r="M35" s="23" t="s">
        <v>43</v>
      </c>
      <c r="N35" s="253" t="s">
        <v>33</v>
      </c>
      <c r="P35" s="258" t="s">
        <v>82</v>
      </c>
      <c r="Q35" s="23" t="s">
        <v>103</v>
      </c>
      <c r="R35" s="23" t="s">
        <v>111</v>
      </c>
      <c r="S35" s="23" t="s">
        <v>119</v>
      </c>
      <c r="T35" s="23" t="s">
        <v>127</v>
      </c>
      <c r="U35" s="23" t="s">
        <v>134</v>
      </c>
      <c r="V35" s="23" t="s">
        <v>140</v>
      </c>
      <c r="W35" s="188">
        <v>77</v>
      </c>
      <c r="X35" s="23" t="s">
        <v>67</v>
      </c>
      <c r="Y35" s="23" t="s">
        <v>60</v>
      </c>
      <c r="Z35" s="23" t="s">
        <v>52</v>
      </c>
      <c r="AA35" s="23" t="s">
        <v>43</v>
      </c>
      <c r="AB35" s="253" t="s">
        <v>33</v>
      </c>
    </row>
    <row r="36" spans="2:28" ht="15" customHeight="1">
      <c r="B36" s="258" t="s">
        <v>83</v>
      </c>
      <c r="C36" s="23" t="s">
        <v>108</v>
      </c>
      <c r="D36" s="23" t="s">
        <v>112</v>
      </c>
      <c r="E36" s="23" t="s">
        <v>120</v>
      </c>
      <c r="F36" s="23" t="s">
        <v>128</v>
      </c>
      <c r="G36" s="23" t="s">
        <v>135</v>
      </c>
      <c r="H36" s="23" t="s">
        <v>141</v>
      </c>
      <c r="I36" s="23" t="s">
        <v>146</v>
      </c>
      <c r="J36" s="29">
        <v>66</v>
      </c>
      <c r="K36" s="23" t="s">
        <v>61</v>
      </c>
      <c r="L36" s="23" t="s">
        <v>53</v>
      </c>
      <c r="M36" s="23" t="s">
        <v>44</v>
      </c>
      <c r="N36" s="253" t="s">
        <v>34</v>
      </c>
      <c r="P36" s="258" t="s">
        <v>83</v>
      </c>
      <c r="Q36" s="23" t="s">
        <v>108</v>
      </c>
      <c r="R36" s="23" t="s">
        <v>112</v>
      </c>
      <c r="S36" s="23" t="s">
        <v>120</v>
      </c>
      <c r="T36" s="23" t="s">
        <v>128</v>
      </c>
      <c r="U36" s="23" t="s">
        <v>135</v>
      </c>
      <c r="V36" s="23" t="s">
        <v>141</v>
      </c>
      <c r="W36" s="23" t="s">
        <v>146</v>
      </c>
      <c r="X36" s="188">
        <v>66</v>
      </c>
      <c r="Y36" s="23" t="s">
        <v>61</v>
      </c>
      <c r="Z36" s="23" t="s">
        <v>53</v>
      </c>
      <c r="AA36" s="23" t="s">
        <v>44</v>
      </c>
      <c r="AB36" s="253" t="s">
        <v>34</v>
      </c>
    </row>
    <row r="37" spans="2:28">
      <c r="B37" s="258" t="s">
        <v>84</v>
      </c>
      <c r="C37" s="23" t="s">
        <v>104</v>
      </c>
      <c r="D37" s="23" t="s">
        <v>113</v>
      </c>
      <c r="E37" s="23" t="s">
        <v>121</v>
      </c>
      <c r="F37" s="23" t="s">
        <v>129</v>
      </c>
      <c r="G37" s="23" t="s">
        <v>136</v>
      </c>
      <c r="H37" s="23" t="s">
        <v>142</v>
      </c>
      <c r="I37" s="23" t="s">
        <v>147</v>
      </c>
      <c r="J37" s="23" t="s">
        <v>151</v>
      </c>
      <c r="K37" s="29">
        <v>55</v>
      </c>
      <c r="L37" s="23" t="s">
        <v>54</v>
      </c>
      <c r="M37" s="23" t="s">
        <v>45</v>
      </c>
      <c r="N37" s="253" t="s">
        <v>35</v>
      </c>
      <c r="P37" s="258" t="s">
        <v>84</v>
      </c>
      <c r="Q37" s="23" t="s">
        <v>104</v>
      </c>
      <c r="R37" s="23" t="s">
        <v>113</v>
      </c>
      <c r="S37" s="23" t="s">
        <v>121</v>
      </c>
      <c r="T37" s="23" t="s">
        <v>129</v>
      </c>
      <c r="U37" s="23" t="s">
        <v>136</v>
      </c>
      <c r="V37" s="23" t="s">
        <v>142</v>
      </c>
      <c r="W37" s="23" t="s">
        <v>147</v>
      </c>
      <c r="X37" s="23" t="s">
        <v>151</v>
      </c>
      <c r="Y37" s="184">
        <v>55</v>
      </c>
      <c r="Z37" s="23" t="s">
        <v>54</v>
      </c>
      <c r="AA37" s="23" t="s">
        <v>45</v>
      </c>
      <c r="AB37" s="253" t="s">
        <v>35</v>
      </c>
    </row>
    <row r="38" spans="2:28">
      <c r="B38" s="258" t="s">
        <v>85</v>
      </c>
      <c r="C38" s="23" t="s">
        <v>105</v>
      </c>
      <c r="D38" s="23" t="s">
        <v>114</v>
      </c>
      <c r="E38" s="23" t="s">
        <v>122</v>
      </c>
      <c r="F38" s="23" t="s">
        <v>130</v>
      </c>
      <c r="G38" s="23" t="s">
        <v>137</v>
      </c>
      <c r="H38" s="23" t="s">
        <v>143</v>
      </c>
      <c r="I38" s="23" t="s">
        <v>148</v>
      </c>
      <c r="J38" s="23" t="s">
        <v>152</v>
      </c>
      <c r="K38" s="23" t="s">
        <v>155</v>
      </c>
      <c r="L38" s="30">
        <v>44</v>
      </c>
      <c r="M38" s="23" t="s">
        <v>46</v>
      </c>
      <c r="N38" s="253" t="s">
        <v>36</v>
      </c>
      <c r="P38" s="258" t="s">
        <v>85</v>
      </c>
      <c r="Q38" s="23" t="s">
        <v>105</v>
      </c>
      <c r="R38" s="23" t="s">
        <v>114</v>
      </c>
      <c r="S38" s="23" t="s">
        <v>122</v>
      </c>
      <c r="T38" s="23" t="s">
        <v>130</v>
      </c>
      <c r="U38" s="23" t="s">
        <v>137</v>
      </c>
      <c r="V38" s="23" t="s">
        <v>143</v>
      </c>
      <c r="W38" s="23" t="s">
        <v>148</v>
      </c>
      <c r="X38" s="23" t="s">
        <v>152</v>
      </c>
      <c r="Y38" s="23" t="s">
        <v>155</v>
      </c>
      <c r="Z38" s="30">
        <v>44</v>
      </c>
      <c r="AA38" s="23" t="s">
        <v>46</v>
      </c>
      <c r="AB38" s="253" t="s">
        <v>36</v>
      </c>
    </row>
    <row r="39" spans="2:28">
      <c r="B39" s="258" t="s">
        <v>86</v>
      </c>
      <c r="C39" s="23" t="s">
        <v>106</v>
      </c>
      <c r="D39" s="23" t="s">
        <v>115</v>
      </c>
      <c r="E39" s="23" t="s">
        <v>123</v>
      </c>
      <c r="F39" s="23" t="s">
        <v>131</v>
      </c>
      <c r="G39" s="23" t="s">
        <v>138</v>
      </c>
      <c r="H39" s="23" t="s">
        <v>144</v>
      </c>
      <c r="I39" s="23" t="s">
        <v>149</v>
      </c>
      <c r="J39" s="23" t="s">
        <v>153</v>
      </c>
      <c r="K39" s="23" t="s">
        <v>156</v>
      </c>
      <c r="L39" s="23" t="s">
        <v>158</v>
      </c>
      <c r="M39" s="30">
        <v>33</v>
      </c>
      <c r="N39" s="253" t="s">
        <v>37</v>
      </c>
      <c r="P39" s="258" t="s">
        <v>86</v>
      </c>
      <c r="Q39" s="23" t="s">
        <v>106</v>
      </c>
      <c r="R39" s="23" t="s">
        <v>115</v>
      </c>
      <c r="S39" s="23" t="s">
        <v>123</v>
      </c>
      <c r="T39" s="23" t="s">
        <v>131</v>
      </c>
      <c r="U39" s="23" t="s">
        <v>138</v>
      </c>
      <c r="V39" s="23" t="s">
        <v>144</v>
      </c>
      <c r="W39" s="23" t="s">
        <v>149</v>
      </c>
      <c r="X39" s="23" t="s">
        <v>153</v>
      </c>
      <c r="Y39" s="23" t="s">
        <v>156</v>
      </c>
      <c r="Z39" s="23" t="s">
        <v>158</v>
      </c>
      <c r="AA39" s="30">
        <v>33</v>
      </c>
      <c r="AB39" s="253" t="s">
        <v>37</v>
      </c>
    </row>
    <row r="40" spans="2:28" ht="15.75" thickBot="1">
      <c r="B40" s="259" t="s">
        <v>87</v>
      </c>
      <c r="C40" s="260" t="s">
        <v>107</v>
      </c>
      <c r="D40" s="260" t="s">
        <v>116</v>
      </c>
      <c r="E40" s="260" t="s">
        <v>124</v>
      </c>
      <c r="F40" s="260" t="s">
        <v>132</v>
      </c>
      <c r="G40" s="260" t="s">
        <v>139</v>
      </c>
      <c r="H40" s="260" t="s">
        <v>145</v>
      </c>
      <c r="I40" s="260" t="s">
        <v>150</v>
      </c>
      <c r="J40" s="260" t="s">
        <v>154</v>
      </c>
      <c r="K40" s="260" t="s">
        <v>157</v>
      </c>
      <c r="L40" s="260" t="s">
        <v>160</v>
      </c>
      <c r="M40" s="260" t="s">
        <v>159</v>
      </c>
      <c r="N40" s="261">
        <v>22</v>
      </c>
      <c r="P40" s="259" t="s">
        <v>87</v>
      </c>
      <c r="Q40" s="260" t="s">
        <v>107</v>
      </c>
      <c r="R40" s="260" t="s">
        <v>116</v>
      </c>
      <c r="S40" s="260" t="s">
        <v>124</v>
      </c>
      <c r="T40" s="260" t="s">
        <v>132</v>
      </c>
      <c r="U40" s="260" t="s">
        <v>139</v>
      </c>
      <c r="V40" s="260" t="s">
        <v>145</v>
      </c>
      <c r="W40" s="260" t="s">
        <v>150</v>
      </c>
      <c r="X40" s="260" t="s">
        <v>154</v>
      </c>
      <c r="Y40" s="260" t="s">
        <v>157</v>
      </c>
      <c r="Z40" s="260" t="s">
        <v>160</v>
      </c>
      <c r="AA40" s="260" t="s">
        <v>159</v>
      </c>
      <c r="AB40" s="280">
        <v>22</v>
      </c>
    </row>
    <row r="42" spans="2:28"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</row>
  </sheetData>
  <mergeCells count="16">
    <mergeCell ref="Q8:AB8"/>
    <mergeCell ref="Q9:AB9"/>
    <mergeCell ref="P12:AB12"/>
    <mergeCell ref="P27:AB27"/>
    <mergeCell ref="Q4:AB4"/>
    <mergeCell ref="Q5:AB5"/>
    <mergeCell ref="Q6:AB6"/>
    <mergeCell ref="Q7:AB7"/>
    <mergeCell ref="B2:G3"/>
    <mergeCell ref="B27:N27"/>
    <mergeCell ref="B12:N12"/>
    <mergeCell ref="C6:N6"/>
    <mergeCell ref="C7:N7"/>
    <mergeCell ref="C8:N8"/>
    <mergeCell ref="C9:N9"/>
    <mergeCell ref="C10:N1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VolSMP">
                <anchor moveWithCells="1" sizeWithCells="1">
                  <from>
                    <xdr:col>3</xdr:col>
                    <xdr:colOff>142875</xdr:colOff>
                    <xdr:row>1</xdr:row>
                    <xdr:rowOff>57150</xdr:rowOff>
                  </from>
                  <to>
                    <xdr:col>6</xdr:col>
                    <xdr:colOff>123825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10"/>
  <dimension ref="B1:AC32"/>
  <sheetViews>
    <sheetView showGridLines="0" showRowColHeaders="0" tabSelected="1" zoomScale="80" zoomScaleNormal="80" workbookViewId="0">
      <selection activeCell="B2" sqref="B2:G3"/>
    </sheetView>
  </sheetViews>
  <sheetFormatPr defaultRowHeight="15"/>
  <cols>
    <col min="1" max="1" width="4.7109375" customWidth="1"/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1" width="5.28515625" bestFit="1" customWidth="1"/>
    <col min="12" max="14" width="4.7109375" bestFit="1" customWidth="1"/>
    <col min="15" max="28" width="4.7109375" customWidth="1"/>
  </cols>
  <sheetData>
    <row r="1" spans="2:28" ht="15.75" thickBot="1"/>
    <row r="2" spans="2:28">
      <c r="B2" s="652"/>
      <c r="C2" s="653"/>
      <c r="D2" s="653"/>
      <c r="E2" s="653"/>
      <c r="F2" s="653"/>
      <c r="G2" s="654"/>
    </row>
    <row r="3" spans="2:28" ht="15.75" thickBot="1">
      <c r="B3" s="655"/>
      <c r="C3" s="656"/>
      <c r="D3" s="656"/>
      <c r="E3" s="656"/>
      <c r="F3" s="656"/>
      <c r="G3" s="657"/>
    </row>
    <row r="4" spans="2:28">
      <c r="B4" s="647" t="s">
        <v>324</v>
      </c>
      <c r="C4" s="648"/>
      <c r="D4" s="648"/>
      <c r="E4" s="648"/>
      <c r="F4" s="648"/>
      <c r="G4" s="648"/>
      <c r="H4" s="648"/>
      <c r="I4" s="648"/>
      <c r="J4" s="648"/>
      <c r="K4" s="648"/>
      <c r="L4" s="648"/>
      <c r="M4" s="648"/>
      <c r="N4" s="650"/>
      <c r="P4" s="647" t="s">
        <v>328</v>
      </c>
      <c r="Q4" s="648"/>
      <c r="R4" s="648"/>
      <c r="S4" s="648"/>
      <c r="T4" s="648"/>
      <c r="U4" s="648"/>
      <c r="V4" s="648"/>
      <c r="W4" s="648"/>
      <c r="X4" s="648"/>
      <c r="Y4" s="648"/>
      <c r="Z4" s="648"/>
      <c r="AA4" s="648"/>
      <c r="AB4" s="650"/>
    </row>
    <row r="5" spans="2:28">
      <c r="B5" s="266" t="s">
        <v>0</v>
      </c>
      <c r="C5" s="51" t="s">
        <v>5</v>
      </c>
      <c r="D5" s="51" t="s">
        <v>6</v>
      </c>
      <c r="E5" s="51" t="s">
        <v>7</v>
      </c>
      <c r="F5" s="182" t="s">
        <v>8</v>
      </c>
      <c r="G5" s="182" t="s">
        <v>9</v>
      </c>
      <c r="H5" s="80" t="s">
        <v>10</v>
      </c>
      <c r="I5" s="80" t="s">
        <v>11</v>
      </c>
      <c r="J5" s="80" t="s">
        <v>12</v>
      </c>
      <c r="K5" s="185" t="s">
        <v>13</v>
      </c>
      <c r="L5" s="185" t="s">
        <v>14</v>
      </c>
      <c r="M5" s="185" t="s">
        <v>15</v>
      </c>
      <c r="N5" s="267" t="s">
        <v>16</v>
      </c>
      <c r="P5" s="251" t="s">
        <v>0</v>
      </c>
      <c r="Q5" s="17" t="s">
        <v>5</v>
      </c>
      <c r="R5" s="17" t="s">
        <v>6</v>
      </c>
      <c r="S5" s="18" t="s">
        <v>7</v>
      </c>
      <c r="T5" s="32" t="s">
        <v>8</v>
      </c>
      <c r="U5" s="32" t="s">
        <v>9</v>
      </c>
      <c r="V5" s="72" t="s">
        <v>10</v>
      </c>
      <c r="W5" s="73" t="s">
        <v>11</v>
      </c>
      <c r="X5" s="78" t="s">
        <v>12</v>
      </c>
      <c r="Y5" s="81" t="s">
        <v>13</v>
      </c>
      <c r="Z5" s="81" t="s">
        <v>14</v>
      </c>
      <c r="AA5" s="81" t="s">
        <v>15</v>
      </c>
      <c r="AB5" s="276" t="s">
        <v>16</v>
      </c>
    </row>
    <row r="6" spans="2:28">
      <c r="B6" s="266" t="s">
        <v>76</v>
      </c>
      <c r="C6" s="51" t="s">
        <v>1</v>
      </c>
      <c r="D6" s="182" t="s">
        <v>95</v>
      </c>
      <c r="E6" s="182" t="s">
        <v>94</v>
      </c>
      <c r="F6" s="80" t="s">
        <v>19</v>
      </c>
      <c r="G6" s="80" t="s">
        <v>20</v>
      </c>
      <c r="H6" s="80" t="s">
        <v>21</v>
      </c>
      <c r="I6" s="186" t="s">
        <v>22</v>
      </c>
      <c r="J6" s="186" t="s">
        <v>23</v>
      </c>
      <c r="K6" s="186" t="s">
        <v>24</v>
      </c>
      <c r="L6" s="22" t="s">
        <v>25</v>
      </c>
      <c r="M6" s="22" t="s">
        <v>26</v>
      </c>
      <c r="N6" s="268" t="s">
        <v>191</v>
      </c>
      <c r="P6" s="251" t="s">
        <v>76</v>
      </c>
      <c r="Q6" s="17" t="s">
        <v>1</v>
      </c>
      <c r="R6" s="32" t="s">
        <v>95</v>
      </c>
      <c r="S6" s="74" t="s">
        <v>94</v>
      </c>
      <c r="T6" s="79" t="s">
        <v>19</v>
      </c>
      <c r="U6" s="79" t="s">
        <v>20</v>
      </c>
      <c r="V6" s="78" t="s">
        <v>21</v>
      </c>
      <c r="W6" s="19" t="s">
        <v>22</v>
      </c>
      <c r="X6" s="21" t="s">
        <v>23</v>
      </c>
      <c r="Y6" s="49" t="s">
        <v>24</v>
      </c>
      <c r="Z6" s="23" t="s">
        <v>25</v>
      </c>
      <c r="AA6" s="23" t="s">
        <v>26</v>
      </c>
      <c r="AB6" s="253" t="s">
        <v>191</v>
      </c>
    </row>
    <row r="7" spans="2:28">
      <c r="B7" s="269" t="s">
        <v>77</v>
      </c>
      <c r="C7" s="80" t="s">
        <v>17</v>
      </c>
      <c r="D7" s="51" t="s">
        <v>2</v>
      </c>
      <c r="E7" s="80" t="s">
        <v>97</v>
      </c>
      <c r="F7" s="80" t="s">
        <v>92</v>
      </c>
      <c r="G7" s="80" t="s">
        <v>96</v>
      </c>
      <c r="H7" s="80" t="s">
        <v>73</v>
      </c>
      <c r="I7" s="22" t="s">
        <v>68</v>
      </c>
      <c r="J7" s="22" t="s">
        <v>62</v>
      </c>
      <c r="K7" s="22" t="s">
        <v>55</v>
      </c>
      <c r="L7" s="22" t="s">
        <v>47</v>
      </c>
      <c r="M7" s="22" t="s">
        <v>38</v>
      </c>
      <c r="N7" s="268" t="s">
        <v>30</v>
      </c>
      <c r="P7" s="254" t="s">
        <v>77</v>
      </c>
      <c r="Q7" s="74" t="s">
        <v>17</v>
      </c>
      <c r="R7" s="17" t="s">
        <v>2</v>
      </c>
      <c r="S7" s="72" t="s">
        <v>97</v>
      </c>
      <c r="T7" s="79" t="s">
        <v>92</v>
      </c>
      <c r="U7" s="79" t="s">
        <v>96</v>
      </c>
      <c r="V7" s="78" t="s">
        <v>73</v>
      </c>
      <c r="W7" s="19" t="s">
        <v>68</v>
      </c>
      <c r="X7" s="47" t="s">
        <v>62</v>
      </c>
      <c r="Y7" s="23" t="s">
        <v>55</v>
      </c>
      <c r="Z7" s="23" t="s">
        <v>47</v>
      </c>
      <c r="AA7" s="23" t="s">
        <v>38</v>
      </c>
      <c r="AB7" s="253" t="s">
        <v>30</v>
      </c>
    </row>
    <row r="8" spans="2:28">
      <c r="B8" s="270" t="s">
        <v>78</v>
      </c>
      <c r="C8" s="185" t="s">
        <v>18</v>
      </c>
      <c r="D8" s="51" t="s">
        <v>93</v>
      </c>
      <c r="E8" s="51" t="s">
        <v>3</v>
      </c>
      <c r="F8" s="80" t="s">
        <v>91</v>
      </c>
      <c r="G8" s="80" t="s">
        <v>90</v>
      </c>
      <c r="H8" s="80" t="s">
        <v>74</v>
      </c>
      <c r="I8" s="22" t="s">
        <v>69</v>
      </c>
      <c r="J8" s="22" t="s">
        <v>63</v>
      </c>
      <c r="K8" s="22" t="s">
        <v>56</v>
      </c>
      <c r="L8" s="22" t="s">
        <v>48</v>
      </c>
      <c r="M8" s="22" t="s">
        <v>39</v>
      </c>
      <c r="N8" s="268" t="s">
        <v>28</v>
      </c>
      <c r="P8" s="278" t="s">
        <v>78</v>
      </c>
      <c r="Q8" s="73" t="s">
        <v>18</v>
      </c>
      <c r="R8" s="19" t="s">
        <v>93</v>
      </c>
      <c r="S8" s="17" t="s">
        <v>3</v>
      </c>
      <c r="T8" s="79" t="s">
        <v>91</v>
      </c>
      <c r="U8" s="79" t="s">
        <v>90</v>
      </c>
      <c r="V8" s="78" t="s">
        <v>74</v>
      </c>
      <c r="W8" s="19" t="s">
        <v>69</v>
      </c>
      <c r="X8" s="23" t="s">
        <v>63</v>
      </c>
      <c r="Y8" s="23" t="s">
        <v>56</v>
      </c>
      <c r="Z8" s="23" t="s">
        <v>48</v>
      </c>
      <c r="AA8" s="23" t="s">
        <v>39</v>
      </c>
      <c r="AB8" s="253" t="s">
        <v>28</v>
      </c>
    </row>
    <row r="9" spans="2:28">
      <c r="B9" s="271" t="s">
        <v>79</v>
      </c>
      <c r="C9" s="51" t="s">
        <v>98</v>
      </c>
      <c r="D9" s="51" t="s">
        <v>99</v>
      </c>
      <c r="E9" s="186" t="s">
        <v>100</v>
      </c>
      <c r="F9" s="51" t="s">
        <v>4</v>
      </c>
      <c r="G9" s="80" t="s">
        <v>89</v>
      </c>
      <c r="H9" s="80" t="s">
        <v>75</v>
      </c>
      <c r="I9" s="22" t="s">
        <v>70</v>
      </c>
      <c r="J9" s="22" t="s">
        <v>64</v>
      </c>
      <c r="K9" s="22" t="s">
        <v>57</v>
      </c>
      <c r="L9" s="22" t="s">
        <v>49</v>
      </c>
      <c r="M9" s="22" t="s">
        <v>40</v>
      </c>
      <c r="N9" s="268" t="s">
        <v>29</v>
      </c>
      <c r="P9" s="278" t="s">
        <v>79</v>
      </c>
      <c r="Q9" s="19" t="s">
        <v>98</v>
      </c>
      <c r="R9" s="19" t="s">
        <v>99</v>
      </c>
      <c r="S9" s="19" t="s">
        <v>100</v>
      </c>
      <c r="T9" s="17" t="s">
        <v>4</v>
      </c>
      <c r="U9" s="79" t="s">
        <v>89</v>
      </c>
      <c r="V9" s="78" t="s">
        <v>75</v>
      </c>
      <c r="W9" s="21" t="s">
        <v>70</v>
      </c>
      <c r="X9" s="23" t="s">
        <v>64</v>
      </c>
      <c r="Y9" s="23" t="s">
        <v>57</v>
      </c>
      <c r="Z9" s="23" t="s">
        <v>49</v>
      </c>
      <c r="AA9" s="23" t="s">
        <v>40</v>
      </c>
      <c r="AB9" s="253" t="s">
        <v>29</v>
      </c>
    </row>
    <row r="10" spans="2:28">
      <c r="B10" s="271" t="s">
        <v>80</v>
      </c>
      <c r="C10" s="22" t="s">
        <v>101</v>
      </c>
      <c r="D10" s="22" t="s">
        <v>109</v>
      </c>
      <c r="E10" s="22" t="s">
        <v>117</v>
      </c>
      <c r="F10" s="22" t="s">
        <v>125</v>
      </c>
      <c r="G10" s="185">
        <v>99</v>
      </c>
      <c r="H10" s="80" t="s">
        <v>88</v>
      </c>
      <c r="I10" s="22" t="s">
        <v>71</v>
      </c>
      <c r="J10" s="22" t="s">
        <v>65</v>
      </c>
      <c r="K10" s="22" t="s">
        <v>58</v>
      </c>
      <c r="L10" s="22" t="s">
        <v>50</v>
      </c>
      <c r="M10" s="22" t="s">
        <v>41</v>
      </c>
      <c r="N10" s="268" t="s">
        <v>31</v>
      </c>
      <c r="P10" s="281" t="s">
        <v>80</v>
      </c>
      <c r="Q10" s="51" t="s">
        <v>101</v>
      </c>
      <c r="R10" s="48" t="s">
        <v>109</v>
      </c>
      <c r="S10" s="23" t="s">
        <v>117</v>
      </c>
      <c r="T10" s="23" t="s">
        <v>125</v>
      </c>
      <c r="U10" s="34">
        <v>99</v>
      </c>
      <c r="V10" s="79" t="s">
        <v>88</v>
      </c>
      <c r="W10" s="21" t="s">
        <v>71</v>
      </c>
      <c r="X10" s="23" t="s">
        <v>65</v>
      </c>
      <c r="Y10" s="23" t="s">
        <v>58</v>
      </c>
      <c r="Z10" s="23" t="s">
        <v>50</v>
      </c>
      <c r="AA10" s="23" t="s">
        <v>41</v>
      </c>
      <c r="AB10" s="253" t="s">
        <v>31</v>
      </c>
    </row>
    <row r="11" spans="2:28">
      <c r="B11" s="271" t="s">
        <v>81</v>
      </c>
      <c r="C11" s="22" t="s">
        <v>102</v>
      </c>
      <c r="D11" s="22" t="s">
        <v>110</v>
      </c>
      <c r="E11" s="22" t="s">
        <v>118</v>
      </c>
      <c r="F11" s="22" t="s">
        <v>126</v>
      </c>
      <c r="G11" s="22" t="s">
        <v>133</v>
      </c>
      <c r="H11" s="185">
        <v>88</v>
      </c>
      <c r="I11" s="22" t="s">
        <v>72</v>
      </c>
      <c r="J11" s="22" t="s">
        <v>66</v>
      </c>
      <c r="K11" s="22" t="s">
        <v>59</v>
      </c>
      <c r="L11" s="22" t="s">
        <v>51</v>
      </c>
      <c r="M11" s="22" t="s">
        <v>42</v>
      </c>
      <c r="N11" s="268" t="s">
        <v>32</v>
      </c>
      <c r="P11" s="281" t="s">
        <v>81</v>
      </c>
      <c r="Q11" s="23" t="s">
        <v>102</v>
      </c>
      <c r="R11" s="23" t="s">
        <v>110</v>
      </c>
      <c r="S11" s="23" t="s">
        <v>118</v>
      </c>
      <c r="T11" s="23" t="s">
        <v>126</v>
      </c>
      <c r="U11" s="23" t="s">
        <v>133</v>
      </c>
      <c r="V11" s="34">
        <v>88</v>
      </c>
      <c r="W11" s="25" t="s">
        <v>72</v>
      </c>
      <c r="X11" s="20" t="s">
        <v>66</v>
      </c>
      <c r="Y11" s="23" t="s">
        <v>59</v>
      </c>
      <c r="Z11" s="23" t="s">
        <v>51</v>
      </c>
      <c r="AA11" s="23" t="s">
        <v>42</v>
      </c>
      <c r="AB11" s="253" t="s">
        <v>32</v>
      </c>
    </row>
    <row r="12" spans="2:28">
      <c r="B12" s="266" t="s">
        <v>82</v>
      </c>
      <c r="C12" s="22" t="s">
        <v>103</v>
      </c>
      <c r="D12" s="22" t="s">
        <v>111</v>
      </c>
      <c r="E12" s="22" t="s">
        <v>119</v>
      </c>
      <c r="F12" s="22" t="s">
        <v>127</v>
      </c>
      <c r="G12" s="22" t="s">
        <v>134</v>
      </c>
      <c r="H12" s="22" t="s">
        <v>140</v>
      </c>
      <c r="I12" s="185">
        <v>77</v>
      </c>
      <c r="J12" s="22" t="s">
        <v>67</v>
      </c>
      <c r="K12" s="22" t="s">
        <v>60</v>
      </c>
      <c r="L12" s="22" t="s">
        <v>52</v>
      </c>
      <c r="M12" s="22" t="s">
        <v>43</v>
      </c>
      <c r="N12" s="268" t="s">
        <v>33</v>
      </c>
      <c r="P12" s="279" t="s">
        <v>82</v>
      </c>
      <c r="Q12" s="23" t="s">
        <v>103</v>
      </c>
      <c r="R12" s="23" t="s">
        <v>111</v>
      </c>
      <c r="S12" s="23" t="s">
        <v>119</v>
      </c>
      <c r="T12" s="23" t="s">
        <v>127</v>
      </c>
      <c r="U12" s="23" t="s">
        <v>134</v>
      </c>
      <c r="V12" s="23" t="s">
        <v>140</v>
      </c>
      <c r="W12" s="82">
        <v>77</v>
      </c>
      <c r="X12" s="28" t="s">
        <v>67</v>
      </c>
      <c r="Y12" s="23" t="s">
        <v>60</v>
      </c>
      <c r="Z12" s="23" t="s">
        <v>52</v>
      </c>
      <c r="AA12" s="23" t="s">
        <v>43</v>
      </c>
      <c r="AB12" s="253" t="s">
        <v>33</v>
      </c>
    </row>
    <row r="13" spans="2:28">
      <c r="B13" s="272" t="s">
        <v>83</v>
      </c>
      <c r="C13" s="22" t="s">
        <v>108</v>
      </c>
      <c r="D13" s="22" t="s">
        <v>112</v>
      </c>
      <c r="E13" s="22" t="s">
        <v>120</v>
      </c>
      <c r="F13" s="22" t="s">
        <v>128</v>
      </c>
      <c r="G13" s="22" t="s">
        <v>135</v>
      </c>
      <c r="H13" s="22" t="s">
        <v>141</v>
      </c>
      <c r="I13" s="22" t="s">
        <v>146</v>
      </c>
      <c r="J13" s="182">
        <v>66</v>
      </c>
      <c r="K13" s="22" t="s">
        <v>61</v>
      </c>
      <c r="L13" s="22" t="s">
        <v>53</v>
      </c>
      <c r="M13" s="22" t="s">
        <v>44</v>
      </c>
      <c r="N13" s="268" t="s">
        <v>34</v>
      </c>
      <c r="P13" s="279" t="s">
        <v>83</v>
      </c>
      <c r="Q13" s="23" t="s">
        <v>108</v>
      </c>
      <c r="R13" s="23" t="s">
        <v>112</v>
      </c>
      <c r="S13" s="23" t="s">
        <v>120</v>
      </c>
      <c r="T13" s="23" t="s">
        <v>128</v>
      </c>
      <c r="U13" s="23" t="s">
        <v>135</v>
      </c>
      <c r="V13" s="23" t="s">
        <v>141</v>
      </c>
      <c r="W13" s="23" t="s">
        <v>146</v>
      </c>
      <c r="X13" s="75">
        <v>66</v>
      </c>
      <c r="Y13" s="23" t="s">
        <v>61</v>
      </c>
      <c r="Z13" s="23" t="s">
        <v>53</v>
      </c>
      <c r="AA13" s="23" t="s">
        <v>44</v>
      </c>
      <c r="AB13" s="253" t="s">
        <v>34</v>
      </c>
    </row>
    <row r="14" spans="2:28">
      <c r="B14" s="272" t="s">
        <v>84</v>
      </c>
      <c r="C14" s="22" t="s">
        <v>104</v>
      </c>
      <c r="D14" s="22" t="s">
        <v>113</v>
      </c>
      <c r="E14" s="22" t="s">
        <v>121</v>
      </c>
      <c r="F14" s="22" t="s">
        <v>129</v>
      </c>
      <c r="G14" s="22" t="s">
        <v>136</v>
      </c>
      <c r="H14" s="22" t="s">
        <v>142</v>
      </c>
      <c r="I14" s="22" t="s">
        <v>147</v>
      </c>
      <c r="J14" s="22" t="s">
        <v>151</v>
      </c>
      <c r="K14" s="182">
        <v>55</v>
      </c>
      <c r="L14" s="22" t="s">
        <v>54</v>
      </c>
      <c r="M14" s="22" t="s">
        <v>45</v>
      </c>
      <c r="N14" s="268" t="s">
        <v>35</v>
      </c>
      <c r="P14" s="269" t="s">
        <v>84</v>
      </c>
      <c r="Q14" s="23" t="s">
        <v>104</v>
      </c>
      <c r="R14" s="23" t="s">
        <v>113</v>
      </c>
      <c r="S14" s="23" t="s">
        <v>121</v>
      </c>
      <c r="T14" s="23" t="s">
        <v>129</v>
      </c>
      <c r="U14" s="23" t="s">
        <v>136</v>
      </c>
      <c r="V14" s="23" t="s">
        <v>142</v>
      </c>
      <c r="W14" s="23" t="s">
        <v>147</v>
      </c>
      <c r="X14" s="23" t="s">
        <v>151</v>
      </c>
      <c r="Y14" s="75">
        <v>55</v>
      </c>
      <c r="Z14" s="23" t="s">
        <v>54</v>
      </c>
      <c r="AA14" s="23" t="s">
        <v>45</v>
      </c>
      <c r="AB14" s="253" t="s">
        <v>35</v>
      </c>
    </row>
    <row r="15" spans="2:28">
      <c r="B15" s="272" t="s">
        <v>85</v>
      </c>
      <c r="C15" s="22" t="s">
        <v>105</v>
      </c>
      <c r="D15" s="22" t="s">
        <v>114</v>
      </c>
      <c r="E15" s="22" t="s">
        <v>122</v>
      </c>
      <c r="F15" s="22" t="s">
        <v>130</v>
      </c>
      <c r="G15" s="22" t="s">
        <v>137</v>
      </c>
      <c r="H15" s="22" t="s">
        <v>143</v>
      </c>
      <c r="I15" s="22" t="s">
        <v>148</v>
      </c>
      <c r="J15" s="22" t="s">
        <v>152</v>
      </c>
      <c r="K15" s="22" t="s">
        <v>155</v>
      </c>
      <c r="L15" s="182">
        <v>44</v>
      </c>
      <c r="M15" s="22" t="s">
        <v>46</v>
      </c>
      <c r="N15" s="268" t="s">
        <v>36</v>
      </c>
      <c r="P15" s="282" t="s">
        <v>85</v>
      </c>
      <c r="Q15" s="23" t="s">
        <v>105</v>
      </c>
      <c r="R15" s="23" t="s">
        <v>114</v>
      </c>
      <c r="S15" s="23" t="s">
        <v>122</v>
      </c>
      <c r="T15" s="23" t="s">
        <v>130</v>
      </c>
      <c r="U15" s="23" t="s">
        <v>137</v>
      </c>
      <c r="V15" s="23" t="s">
        <v>143</v>
      </c>
      <c r="W15" s="23" t="s">
        <v>148</v>
      </c>
      <c r="X15" s="23" t="s">
        <v>152</v>
      </c>
      <c r="Y15" s="23" t="s">
        <v>155</v>
      </c>
      <c r="Z15" s="76">
        <v>44</v>
      </c>
      <c r="AA15" s="23" t="s">
        <v>46</v>
      </c>
      <c r="AB15" s="253" t="s">
        <v>36</v>
      </c>
    </row>
    <row r="16" spans="2:28" ht="16.5" customHeight="1">
      <c r="B16" s="272" t="s">
        <v>86</v>
      </c>
      <c r="C16" s="22" t="s">
        <v>106</v>
      </c>
      <c r="D16" s="22" t="s">
        <v>115</v>
      </c>
      <c r="E16" s="22" t="s">
        <v>123</v>
      </c>
      <c r="F16" s="22" t="s">
        <v>131</v>
      </c>
      <c r="G16" s="22" t="s">
        <v>138</v>
      </c>
      <c r="H16" s="22" t="s">
        <v>144</v>
      </c>
      <c r="I16" s="22" t="s">
        <v>149</v>
      </c>
      <c r="J16" s="22" t="s">
        <v>153</v>
      </c>
      <c r="K16" s="22" t="s">
        <v>156</v>
      </c>
      <c r="L16" s="22" t="s">
        <v>158</v>
      </c>
      <c r="M16" s="182">
        <v>33</v>
      </c>
      <c r="N16" s="268" t="s">
        <v>37</v>
      </c>
      <c r="P16" s="282" t="s">
        <v>86</v>
      </c>
      <c r="Q16" s="23" t="s">
        <v>106</v>
      </c>
      <c r="R16" s="23" t="s">
        <v>115</v>
      </c>
      <c r="S16" s="23" t="s">
        <v>123</v>
      </c>
      <c r="T16" s="23" t="s">
        <v>131</v>
      </c>
      <c r="U16" s="23" t="s">
        <v>138</v>
      </c>
      <c r="V16" s="23" t="s">
        <v>144</v>
      </c>
      <c r="W16" s="23" t="s">
        <v>149</v>
      </c>
      <c r="X16" s="23" t="s">
        <v>153</v>
      </c>
      <c r="Y16" s="23" t="s">
        <v>156</v>
      </c>
      <c r="Z16" s="23" t="s">
        <v>158</v>
      </c>
      <c r="AA16" s="76">
        <v>33</v>
      </c>
      <c r="AB16" s="253" t="s">
        <v>37</v>
      </c>
    </row>
    <row r="17" spans="2:29" ht="15.75" thickBot="1">
      <c r="B17" s="273" t="s">
        <v>87</v>
      </c>
      <c r="C17" s="274" t="s">
        <v>107</v>
      </c>
      <c r="D17" s="274" t="s">
        <v>116</v>
      </c>
      <c r="E17" s="274" t="s">
        <v>124</v>
      </c>
      <c r="F17" s="274" t="s">
        <v>132</v>
      </c>
      <c r="G17" s="274" t="s">
        <v>139</v>
      </c>
      <c r="H17" s="274" t="s">
        <v>145</v>
      </c>
      <c r="I17" s="274" t="s">
        <v>150</v>
      </c>
      <c r="J17" s="274" t="s">
        <v>154</v>
      </c>
      <c r="K17" s="274" t="s">
        <v>157</v>
      </c>
      <c r="L17" s="274" t="s">
        <v>160</v>
      </c>
      <c r="M17" s="274" t="s">
        <v>159</v>
      </c>
      <c r="N17" s="275">
        <v>22</v>
      </c>
      <c r="P17" s="283" t="s">
        <v>87</v>
      </c>
      <c r="Q17" s="260" t="s">
        <v>107</v>
      </c>
      <c r="R17" s="260" t="s">
        <v>116</v>
      </c>
      <c r="S17" s="260" t="s">
        <v>124</v>
      </c>
      <c r="T17" s="260" t="s">
        <v>132</v>
      </c>
      <c r="U17" s="260" t="s">
        <v>139</v>
      </c>
      <c r="V17" s="260" t="s">
        <v>145</v>
      </c>
      <c r="W17" s="260" t="s">
        <v>150</v>
      </c>
      <c r="X17" s="260" t="s">
        <v>154</v>
      </c>
      <c r="Y17" s="260" t="s">
        <v>157</v>
      </c>
      <c r="Z17" s="260" t="s">
        <v>160</v>
      </c>
      <c r="AA17" s="260" t="s">
        <v>159</v>
      </c>
      <c r="AB17" s="284">
        <v>22</v>
      </c>
    </row>
    <row r="18" spans="2:29" ht="15.75" thickBot="1"/>
    <row r="19" spans="2:29">
      <c r="B19" s="647" t="s">
        <v>329</v>
      </c>
      <c r="C19" s="648"/>
      <c r="D19" s="648"/>
      <c r="E19" s="648"/>
      <c r="F19" s="648"/>
      <c r="G19" s="648"/>
      <c r="H19" s="648"/>
      <c r="I19" s="648"/>
      <c r="J19" s="648"/>
      <c r="K19" s="648"/>
      <c r="L19" s="648"/>
      <c r="M19" s="648"/>
      <c r="N19" s="650"/>
    </row>
    <row r="20" spans="2:29" ht="15.75" thickBot="1">
      <c r="B20" s="251" t="s">
        <v>0</v>
      </c>
      <c r="C20" s="17" t="s">
        <v>5</v>
      </c>
      <c r="D20" s="17" t="s">
        <v>6</v>
      </c>
      <c r="E20" s="18" t="s">
        <v>7</v>
      </c>
      <c r="F20" s="84" t="s">
        <v>8</v>
      </c>
      <c r="G20" s="32" t="s">
        <v>9</v>
      </c>
      <c r="H20" s="32" t="s">
        <v>10</v>
      </c>
      <c r="I20" s="72" t="s">
        <v>11</v>
      </c>
      <c r="J20" s="72" t="s">
        <v>12</v>
      </c>
      <c r="K20" s="72" t="s">
        <v>13</v>
      </c>
      <c r="L20" s="72" t="s">
        <v>14</v>
      </c>
      <c r="M20" s="72" t="s">
        <v>15</v>
      </c>
      <c r="N20" s="285" t="s">
        <v>16</v>
      </c>
    </row>
    <row r="21" spans="2:29">
      <c r="B21" s="254" t="s">
        <v>76</v>
      </c>
      <c r="C21" s="17" t="s">
        <v>1</v>
      </c>
      <c r="D21" s="84" t="s">
        <v>95</v>
      </c>
      <c r="E21" s="34" t="s">
        <v>94</v>
      </c>
      <c r="F21" s="72" t="s">
        <v>19</v>
      </c>
      <c r="G21" s="79" t="s">
        <v>20</v>
      </c>
      <c r="H21" s="79" t="s">
        <v>21</v>
      </c>
      <c r="I21" s="79" t="s">
        <v>22</v>
      </c>
      <c r="J21" s="85" t="s">
        <v>23</v>
      </c>
      <c r="K21" s="85" t="s">
        <v>24</v>
      </c>
      <c r="L21" s="81" t="s">
        <v>25</v>
      </c>
      <c r="M21" s="81" t="s">
        <v>26</v>
      </c>
      <c r="N21" s="276" t="s">
        <v>191</v>
      </c>
      <c r="Q21" s="468"/>
      <c r="R21" s="803" t="s">
        <v>193</v>
      </c>
      <c r="S21" s="804"/>
      <c r="T21" s="804"/>
      <c r="U21" s="804"/>
      <c r="V21" s="804"/>
      <c r="W21" s="804"/>
      <c r="X21" s="804"/>
      <c r="Y21" s="804"/>
      <c r="Z21" s="804"/>
      <c r="AA21" s="804"/>
      <c r="AB21" s="804"/>
      <c r="AC21" s="805"/>
    </row>
    <row r="22" spans="2:29">
      <c r="B22" s="254" t="s">
        <v>77</v>
      </c>
      <c r="C22" s="83" t="s">
        <v>17</v>
      </c>
      <c r="D22" s="17" t="s">
        <v>2</v>
      </c>
      <c r="E22" s="72" t="s">
        <v>97</v>
      </c>
      <c r="F22" s="72" t="s">
        <v>92</v>
      </c>
      <c r="G22" s="79" t="s">
        <v>96</v>
      </c>
      <c r="H22" s="79" t="s">
        <v>73</v>
      </c>
      <c r="I22" s="78" t="s">
        <v>68</v>
      </c>
      <c r="J22" s="89" t="s">
        <v>62</v>
      </c>
      <c r="K22" s="89" t="s">
        <v>55</v>
      </c>
      <c r="L22" s="86" t="s">
        <v>47</v>
      </c>
      <c r="M22" s="86" t="s">
        <v>38</v>
      </c>
      <c r="N22" s="286" t="s">
        <v>30</v>
      </c>
      <c r="Q22" s="469"/>
      <c r="R22" s="797" t="s">
        <v>194</v>
      </c>
      <c r="S22" s="798"/>
      <c r="T22" s="798"/>
      <c r="U22" s="798"/>
      <c r="V22" s="798"/>
      <c r="W22" s="798"/>
      <c r="X22" s="798"/>
      <c r="Y22" s="798"/>
      <c r="Z22" s="798"/>
      <c r="AA22" s="798"/>
      <c r="AB22" s="798"/>
      <c r="AC22" s="799"/>
    </row>
    <row r="23" spans="2:29">
      <c r="B23" s="254" t="s">
        <v>78</v>
      </c>
      <c r="C23" s="73" t="s">
        <v>18</v>
      </c>
      <c r="D23" s="85" t="s">
        <v>93</v>
      </c>
      <c r="E23" s="17" t="s">
        <v>3</v>
      </c>
      <c r="F23" s="72" t="s">
        <v>91</v>
      </c>
      <c r="G23" s="79" t="s">
        <v>90</v>
      </c>
      <c r="H23" s="79" t="s">
        <v>74</v>
      </c>
      <c r="I23" s="78" t="s">
        <v>69</v>
      </c>
      <c r="J23" s="86" t="s">
        <v>63</v>
      </c>
      <c r="K23" s="86" t="s">
        <v>56</v>
      </c>
      <c r="L23" s="20" t="s">
        <v>48</v>
      </c>
      <c r="M23" s="20" t="s">
        <v>39</v>
      </c>
      <c r="N23" s="252" t="s">
        <v>28</v>
      </c>
      <c r="Q23" s="470"/>
      <c r="R23" s="797" t="s">
        <v>195</v>
      </c>
      <c r="S23" s="798"/>
      <c r="T23" s="798"/>
      <c r="U23" s="798"/>
      <c r="V23" s="798"/>
      <c r="W23" s="798"/>
      <c r="X23" s="798"/>
      <c r="Y23" s="798"/>
      <c r="Z23" s="798"/>
      <c r="AA23" s="798"/>
      <c r="AB23" s="798"/>
      <c r="AC23" s="799"/>
    </row>
    <row r="24" spans="2:29">
      <c r="B24" s="287" t="s">
        <v>79</v>
      </c>
      <c r="C24" s="85" t="s">
        <v>98</v>
      </c>
      <c r="D24" s="78" t="s">
        <v>99</v>
      </c>
      <c r="E24" s="78" t="s">
        <v>100</v>
      </c>
      <c r="F24" s="17" t="s">
        <v>4</v>
      </c>
      <c r="G24" s="79" t="s">
        <v>89</v>
      </c>
      <c r="H24" s="79" t="s">
        <v>75</v>
      </c>
      <c r="I24" s="78" t="s">
        <v>70</v>
      </c>
      <c r="J24" s="86" t="s">
        <v>64</v>
      </c>
      <c r="K24" s="20" t="s">
        <v>57</v>
      </c>
      <c r="L24" s="23" t="s">
        <v>49</v>
      </c>
      <c r="M24" s="23" t="s">
        <v>40</v>
      </c>
      <c r="N24" s="253" t="s">
        <v>29</v>
      </c>
      <c r="Q24" s="466"/>
      <c r="R24" s="797" t="s">
        <v>196</v>
      </c>
      <c r="S24" s="798"/>
      <c r="T24" s="798"/>
      <c r="U24" s="798"/>
      <c r="V24" s="798"/>
      <c r="W24" s="798"/>
      <c r="X24" s="798"/>
      <c r="Y24" s="798"/>
      <c r="Z24" s="798"/>
      <c r="AA24" s="798"/>
      <c r="AB24" s="798"/>
      <c r="AC24" s="799"/>
    </row>
    <row r="25" spans="2:29">
      <c r="B25" s="288" t="s">
        <v>80</v>
      </c>
      <c r="C25" s="81" t="s">
        <v>101</v>
      </c>
      <c r="D25" s="19" t="s">
        <v>109</v>
      </c>
      <c r="E25" s="19" t="s">
        <v>117</v>
      </c>
      <c r="F25" s="81" t="s">
        <v>125</v>
      </c>
      <c r="G25" s="34">
        <v>99</v>
      </c>
      <c r="H25" s="79" t="s">
        <v>88</v>
      </c>
      <c r="I25" s="79" t="s">
        <v>71</v>
      </c>
      <c r="J25" s="86" t="s">
        <v>65</v>
      </c>
      <c r="K25" s="20" t="s">
        <v>58</v>
      </c>
      <c r="L25" s="23" t="s">
        <v>50</v>
      </c>
      <c r="M25" s="23" t="s">
        <v>41</v>
      </c>
      <c r="N25" s="253" t="s">
        <v>31</v>
      </c>
      <c r="Q25" s="471"/>
      <c r="R25" s="797" t="s">
        <v>197</v>
      </c>
      <c r="S25" s="798"/>
      <c r="T25" s="798"/>
      <c r="U25" s="798"/>
      <c r="V25" s="798"/>
      <c r="W25" s="798"/>
      <c r="X25" s="798"/>
      <c r="Y25" s="798"/>
      <c r="Z25" s="798"/>
      <c r="AA25" s="798"/>
      <c r="AB25" s="798"/>
      <c r="AC25" s="799"/>
    </row>
    <row r="26" spans="2:29">
      <c r="B26" s="281" t="s">
        <v>81</v>
      </c>
      <c r="C26" s="81" t="s">
        <v>102</v>
      </c>
      <c r="D26" s="47" t="s">
        <v>110</v>
      </c>
      <c r="E26" s="47" t="s">
        <v>118</v>
      </c>
      <c r="F26" s="47" t="s">
        <v>126</v>
      </c>
      <c r="G26" s="47" t="s">
        <v>133</v>
      </c>
      <c r="H26" s="34">
        <v>88</v>
      </c>
      <c r="I26" s="79" t="s">
        <v>72</v>
      </c>
      <c r="J26" s="87" t="s">
        <v>66</v>
      </c>
      <c r="K26" s="20" t="s">
        <v>59</v>
      </c>
      <c r="L26" s="23" t="s">
        <v>51</v>
      </c>
      <c r="M26" s="23" t="s">
        <v>42</v>
      </c>
      <c r="N26" s="253" t="s">
        <v>32</v>
      </c>
      <c r="Q26" s="472"/>
      <c r="R26" s="797" t="s">
        <v>198</v>
      </c>
      <c r="S26" s="798"/>
      <c r="T26" s="798"/>
      <c r="U26" s="798"/>
      <c r="V26" s="798"/>
      <c r="W26" s="798"/>
      <c r="X26" s="798"/>
      <c r="Y26" s="798"/>
      <c r="Z26" s="798"/>
      <c r="AA26" s="798"/>
      <c r="AB26" s="798"/>
      <c r="AC26" s="799"/>
    </row>
    <row r="27" spans="2:29" ht="15.75" thickBot="1">
      <c r="B27" s="281" t="s">
        <v>82</v>
      </c>
      <c r="C27" s="81" t="s">
        <v>103</v>
      </c>
      <c r="D27" s="47" t="s">
        <v>111</v>
      </c>
      <c r="E27" s="23" t="s">
        <v>119</v>
      </c>
      <c r="F27" s="23" t="s">
        <v>127</v>
      </c>
      <c r="G27" s="23" t="s">
        <v>134</v>
      </c>
      <c r="H27" s="47" t="s">
        <v>140</v>
      </c>
      <c r="I27" s="82">
        <v>77</v>
      </c>
      <c r="J27" s="32" t="s">
        <v>67</v>
      </c>
      <c r="K27" s="87" t="s">
        <v>60</v>
      </c>
      <c r="L27" s="23" t="s">
        <v>52</v>
      </c>
      <c r="M27" s="23" t="s">
        <v>43</v>
      </c>
      <c r="N27" s="253" t="s">
        <v>33</v>
      </c>
      <c r="Q27" s="473"/>
      <c r="R27" s="800" t="s">
        <v>199</v>
      </c>
      <c r="S27" s="801"/>
      <c r="T27" s="801"/>
      <c r="U27" s="801"/>
      <c r="V27" s="801"/>
      <c r="W27" s="801"/>
      <c r="X27" s="801"/>
      <c r="Y27" s="801"/>
      <c r="Z27" s="801"/>
      <c r="AA27" s="801"/>
      <c r="AB27" s="801"/>
      <c r="AC27" s="802"/>
    </row>
    <row r="28" spans="2:29">
      <c r="B28" s="279" t="s">
        <v>83</v>
      </c>
      <c r="C28" s="21" t="s">
        <v>108</v>
      </c>
      <c r="D28" s="23" t="s">
        <v>112</v>
      </c>
      <c r="E28" s="23" t="s">
        <v>120</v>
      </c>
      <c r="F28" s="23" t="s">
        <v>128</v>
      </c>
      <c r="G28" s="23" t="s">
        <v>135</v>
      </c>
      <c r="H28" s="23" t="s">
        <v>141</v>
      </c>
      <c r="I28" s="23" t="s">
        <v>146</v>
      </c>
      <c r="J28" s="75">
        <v>66</v>
      </c>
      <c r="K28" s="32" t="s">
        <v>61</v>
      </c>
      <c r="L28" s="88" t="s">
        <v>53</v>
      </c>
      <c r="M28" s="23" t="s">
        <v>44</v>
      </c>
      <c r="N28" s="253" t="s">
        <v>34</v>
      </c>
    </row>
    <row r="29" spans="2:29">
      <c r="B29" s="279" t="s">
        <v>84</v>
      </c>
      <c r="C29" s="47" t="s">
        <v>104</v>
      </c>
      <c r="D29" s="23" t="s">
        <v>113</v>
      </c>
      <c r="E29" s="23" t="s">
        <v>121</v>
      </c>
      <c r="F29" s="23" t="s">
        <v>129</v>
      </c>
      <c r="G29" s="23" t="s">
        <v>136</v>
      </c>
      <c r="H29" s="23" t="s">
        <v>142</v>
      </c>
      <c r="I29" s="23" t="s">
        <v>147</v>
      </c>
      <c r="J29" s="23" t="s">
        <v>151</v>
      </c>
      <c r="K29" s="75">
        <v>55</v>
      </c>
      <c r="L29" s="87" t="s">
        <v>54</v>
      </c>
      <c r="M29" s="23" t="s">
        <v>45</v>
      </c>
      <c r="N29" s="253" t="s">
        <v>35</v>
      </c>
    </row>
    <row r="30" spans="2:29">
      <c r="B30" s="279" t="s">
        <v>85</v>
      </c>
      <c r="C30" s="23" t="s">
        <v>105</v>
      </c>
      <c r="D30" s="23" t="s">
        <v>114</v>
      </c>
      <c r="E30" s="23" t="s">
        <v>122</v>
      </c>
      <c r="F30" s="23" t="s">
        <v>130</v>
      </c>
      <c r="G30" s="23" t="s">
        <v>137</v>
      </c>
      <c r="H30" s="23" t="s">
        <v>143</v>
      </c>
      <c r="I30" s="23" t="s">
        <v>148</v>
      </c>
      <c r="J30" s="23" t="s">
        <v>152</v>
      </c>
      <c r="K30" s="23" t="s">
        <v>155</v>
      </c>
      <c r="L30" s="75">
        <v>44</v>
      </c>
      <c r="M30" s="23" t="s">
        <v>46</v>
      </c>
      <c r="N30" s="253" t="s">
        <v>36</v>
      </c>
    </row>
    <row r="31" spans="2:29">
      <c r="B31" s="279" t="s">
        <v>86</v>
      </c>
      <c r="C31" s="23" t="s">
        <v>106</v>
      </c>
      <c r="D31" s="23" t="s">
        <v>115</v>
      </c>
      <c r="E31" s="23" t="s">
        <v>123</v>
      </c>
      <c r="F31" s="23" t="s">
        <v>131</v>
      </c>
      <c r="G31" s="23" t="s">
        <v>138</v>
      </c>
      <c r="H31" s="23" t="s">
        <v>144</v>
      </c>
      <c r="I31" s="23" t="s">
        <v>149</v>
      </c>
      <c r="J31" s="23" t="s">
        <v>153</v>
      </c>
      <c r="K31" s="23" t="s">
        <v>156</v>
      </c>
      <c r="L31" s="23" t="s">
        <v>158</v>
      </c>
      <c r="M31" s="75">
        <v>33</v>
      </c>
      <c r="N31" s="253" t="s">
        <v>37</v>
      </c>
    </row>
    <row r="32" spans="2:29" ht="15.75" thickBot="1">
      <c r="B32" s="289" t="s">
        <v>87</v>
      </c>
      <c r="C32" s="260" t="s">
        <v>107</v>
      </c>
      <c r="D32" s="260" t="s">
        <v>116</v>
      </c>
      <c r="E32" s="260" t="s">
        <v>124</v>
      </c>
      <c r="F32" s="260" t="s">
        <v>132</v>
      </c>
      <c r="G32" s="260" t="s">
        <v>139</v>
      </c>
      <c r="H32" s="260" t="s">
        <v>145</v>
      </c>
      <c r="I32" s="260" t="s">
        <v>150</v>
      </c>
      <c r="J32" s="260" t="s">
        <v>154</v>
      </c>
      <c r="K32" s="260" t="s">
        <v>157</v>
      </c>
      <c r="L32" s="260" t="s">
        <v>160</v>
      </c>
      <c r="M32" s="260" t="s">
        <v>159</v>
      </c>
      <c r="N32" s="290">
        <v>22</v>
      </c>
    </row>
  </sheetData>
  <mergeCells count="11">
    <mergeCell ref="B4:N4"/>
    <mergeCell ref="B2:G3"/>
    <mergeCell ref="B19:N19"/>
    <mergeCell ref="P4:AB4"/>
    <mergeCell ref="R21:AC21"/>
    <mergeCell ref="R27:AC27"/>
    <mergeCell ref="R22:AC22"/>
    <mergeCell ref="R23:AC23"/>
    <mergeCell ref="R24:AC24"/>
    <mergeCell ref="R25:AC25"/>
    <mergeCell ref="R26:AC2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VolSCO">
                <anchor moveWithCells="1" sizeWithCells="1">
                  <from>
                    <xdr:col>3</xdr:col>
                    <xdr:colOff>200025</xdr:colOff>
                    <xdr:row>1</xdr:row>
                    <xdr:rowOff>57150</xdr:rowOff>
                  </from>
                  <to>
                    <xdr:col>6</xdr:col>
                    <xdr:colOff>133350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11"/>
  <dimension ref="B16:AB21"/>
  <sheetViews>
    <sheetView showGridLines="0" showRowColHeaders="0" workbookViewId="0">
      <selection activeCell="P11" sqref="P11:AB16"/>
    </sheetView>
  </sheetViews>
  <sheetFormatPr defaultRowHeight="15"/>
  <cols>
    <col min="2" max="2" width="4.85546875" bestFit="1" customWidth="1"/>
    <col min="3" max="3" width="4.7109375" bestFit="1" customWidth="1"/>
    <col min="4" max="4" width="4.5703125" bestFit="1" customWidth="1"/>
    <col min="5" max="5" width="4" bestFit="1" customWidth="1"/>
    <col min="6" max="6" width="4.28515625" bestFit="1" customWidth="1"/>
    <col min="7" max="14" width="4.7109375" bestFit="1" customWidth="1"/>
  </cols>
  <sheetData>
    <row r="16" spans="2:14" ht="15" customHeight="1">
      <c r="B16" s="91"/>
      <c r="C16" s="671"/>
      <c r="D16" s="671"/>
      <c r="E16" s="671"/>
      <c r="F16" s="671"/>
      <c r="G16" s="671"/>
      <c r="H16" s="671"/>
      <c r="I16" s="671"/>
      <c r="J16" s="671"/>
      <c r="K16" s="671"/>
      <c r="L16" s="671"/>
      <c r="M16" s="671"/>
      <c r="N16" s="671"/>
    </row>
    <row r="17" spans="2:28" ht="15" customHeight="1">
      <c r="B17" s="91"/>
      <c r="C17" s="672"/>
      <c r="D17" s="672"/>
      <c r="E17" s="672"/>
      <c r="F17" s="672"/>
      <c r="G17" s="672"/>
      <c r="H17" s="672"/>
      <c r="I17" s="672"/>
      <c r="J17" s="672"/>
      <c r="K17" s="672"/>
      <c r="L17" s="672"/>
      <c r="M17" s="672"/>
      <c r="N17" s="672"/>
      <c r="P17" s="93"/>
      <c r="Q17" s="806"/>
      <c r="R17" s="806"/>
      <c r="S17" s="806"/>
      <c r="T17" s="806"/>
      <c r="U17" s="806"/>
      <c r="V17" s="806"/>
      <c r="W17" s="806"/>
      <c r="X17" s="806"/>
      <c r="Y17" s="806"/>
      <c r="Z17" s="806"/>
      <c r="AA17" s="806"/>
      <c r="AB17" s="806"/>
    </row>
    <row r="18" spans="2:28">
      <c r="B18" s="91"/>
      <c r="C18" s="672"/>
      <c r="D18" s="672"/>
      <c r="E18" s="672"/>
      <c r="F18" s="672"/>
      <c r="G18" s="672"/>
      <c r="H18" s="672"/>
      <c r="I18" s="672"/>
      <c r="J18" s="672"/>
      <c r="K18" s="672"/>
      <c r="L18" s="672"/>
      <c r="M18" s="672"/>
      <c r="N18" s="672"/>
    </row>
    <row r="20" spans="2:28" ht="15.75">
      <c r="B20" s="5"/>
    </row>
    <row r="21" spans="2:28" ht="15.75">
      <c r="B21" s="6"/>
    </row>
  </sheetData>
  <mergeCells count="4">
    <mergeCell ref="C17:N17"/>
    <mergeCell ref="C18:N18"/>
    <mergeCell ref="C16:N16"/>
    <mergeCell ref="Q17:AB1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VolSBU">
                <anchor moveWithCells="1" sizeWithCells="1">
                  <from>
                    <xdr:col>14</xdr:col>
                    <xdr:colOff>428625</xdr:colOff>
                    <xdr:row>5</xdr:row>
                    <xdr:rowOff>19050</xdr:rowOff>
                  </from>
                  <to>
                    <xdr:col>16</xdr:col>
                    <xdr:colOff>171450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12"/>
  <dimension ref="A1:AP55"/>
  <sheetViews>
    <sheetView showGridLines="0" showRowColHeaders="0" zoomScale="90" zoomScaleNormal="90" workbookViewId="0">
      <selection activeCell="A6" sqref="A6"/>
    </sheetView>
  </sheetViews>
  <sheetFormatPr defaultRowHeight="15"/>
  <cols>
    <col min="1" max="28" width="4.7109375" customWidth="1"/>
    <col min="29" max="29" width="4.85546875" bestFit="1" customWidth="1"/>
    <col min="30" max="30" width="4.7109375" bestFit="1" customWidth="1"/>
    <col min="31" max="31" width="4.5703125" bestFit="1" customWidth="1"/>
    <col min="32" max="32" width="4" bestFit="1" customWidth="1"/>
    <col min="33" max="41" width="4.28515625" bestFit="1" customWidth="1"/>
    <col min="42" max="42" width="2.85546875" customWidth="1"/>
    <col min="43" max="43" width="4.85546875" bestFit="1" customWidth="1"/>
    <col min="44" max="44" width="4.7109375" bestFit="1" customWidth="1"/>
    <col min="45" max="45" width="4.5703125" bestFit="1" customWidth="1"/>
    <col min="46" max="46" width="4" bestFit="1" customWidth="1"/>
    <col min="47" max="55" width="4.28515625" bestFit="1" customWidth="1"/>
    <col min="57" max="57" width="4.85546875" bestFit="1" customWidth="1"/>
    <col min="58" max="58" width="4.7109375" bestFit="1" customWidth="1"/>
    <col min="59" max="59" width="4.5703125" bestFit="1" customWidth="1"/>
    <col min="60" max="60" width="4" bestFit="1" customWidth="1"/>
    <col min="61" max="69" width="4.28515625" bestFit="1" customWidth="1"/>
  </cols>
  <sheetData>
    <row r="1" spans="1:42" ht="15.75" thickBot="1"/>
    <row r="2" spans="1:42">
      <c r="B2" s="652"/>
      <c r="C2" s="653"/>
      <c r="D2" s="653"/>
      <c r="E2" s="653"/>
      <c r="F2" s="653"/>
      <c r="G2" s="654"/>
    </row>
    <row r="3" spans="1:42" ht="15.75" thickBot="1">
      <c r="B3" s="655"/>
      <c r="C3" s="656"/>
      <c r="D3" s="656"/>
      <c r="E3" s="656"/>
      <c r="F3" s="656"/>
      <c r="G3" s="657"/>
    </row>
    <row r="4" spans="1:42" ht="15.75" thickBot="1">
      <c r="Y4" s="617"/>
      <c r="Z4" s="673" t="s">
        <v>351</v>
      </c>
      <c r="AA4" s="674"/>
      <c r="AB4" s="675"/>
    </row>
    <row r="5" spans="1:42" ht="15.75" thickBot="1">
      <c r="J5" s="574"/>
      <c r="K5" s="571" t="s">
        <v>346</v>
      </c>
      <c r="L5" s="575"/>
      <c r="M5" s="572" t="s">
        <v>200</v>
      </c>
      <c r="N5" s="576"/>
      <c r="O5" s="572" t="s">
        <v>347</v>
      </c>
      <c r="P5" s="577"/>
      <c r="Q5" s="572" t="s">
        <v>348</v>
      </c>
      <c r="R5" s="578"/>
      <c r="S5" s="572" t="s">
        <v>350</v>
      </c>
      <c r="T5" s="579"/>
      <c r="U5" s="572" t="s">
        <v>292</v>
      </c>
      <c r="V5" s="580"/>
      <c r="W5" s="573" t="s">
        <v>349</v>
      </c>
      <c r="Y5" s="618"/>
      <c r="Z5" s="676" t="s">
        <v>352</v>
      </c>
      <c r="AA5" s="677"/>
      <c r="AB5" s="678"/>
    </row>
    <row r="7" spans="1:42" ht="15.75" thickBot="1"/>
    <row r="8" spans="1:42" ht="15.75" thickBot="1">
      <c r="B8" s="808" t="s">
        <v>340</v>
      </c>
      <c r="C8" s="809"/>
      <c r="D8" s="809"/>
      <c r="E8" s="809"/>
      <c r="F8" s="809"/>
      <c r="G8" s="809"/>
      <c r="H8" s="809"/>
      <c r="I8" s="809"/>
      <c r="J8" s="809"/>
      <c r="K8" s="809"/>
      <c r="L8" s="809"/>
      <c r="M8" s="809"/>
      <c r="N8" s="810"/>
      <c r="P8" s="808" t="s">
        <v>341</v>
      </c>
      <c r="Q8" s="809"/>
      <c r="R8" s="809"/>
      <c r="S8" s="809"/>
      <c r="T8" s="809"/>
      <c r="U8" s="809"/>
      <c r="V8" s="809"/>
      <c r="W8" s="809"/>
      <c r="X8" s="809"/>
      <c r="Y8" s="809"/>
      <c r="Z8" s="809"/>
      <c r="AA8" s="809"/>
      <c r="AB8" s="810"/>
      <c r="AD8" s="808" t="s">
        <v>342</v>
      </c>
      <c r="AE8" s="809"/>
      <c r="AF8" s="809"/>
      <c r="AG8" s="809"/>
      <c r="AH8" s="809"/>
      <c r="AI8" s="809"/>
      <c r="AJ8" s="809"/>
      <c r="AK8" s="809"/>
      <c r="AL8" s="809"/>
      <c r="AM8" s="809"/>
      <c r="AN8" s="809"/>
      <c r="AO8" s="809"/>
      <c r="AP8" s="810"/>
    </row>
    <row r="9" spans="1:42">
      <c r="B9" s="582" t="s">
        <v>0</v>
      </c>
      <c r="C9" s="584" t="s">
        <v>5</v>
      </c>
      <c r="D9" s="584" t="s">
        <v>6</v>
      </c>
      <c r="E9" s="584" t="s">
        <v>7</v>
      </c>
      <c r="F9" s="584" t="s">
        <v>8</v>
      </c>
      <c r="G9" s="553" t="s">
        <v>9</v>
      </c>
      <c r="H9" s="554" t="s">
        <v>10</v>
      </c>
      <c r="I9" s="554" t="s">
        <v>11</v>
      </c>
      <c r="J9" s="555" t="s">
        <v>12</v>
      </c>
      <c r="K9" s="555" t="s">
        <v>13</v>
      </c>
      <c r="L9" s="555" t="s">
        <v>14</v>
      </c>
      <c r="M9" s="555" t="s">
        <v>15</v>
      </c>
      <c r="N9" s="556" t="s">
        <v>16</v>
      </c>
      <c r="P9" s="586" t="s">
        <v>0</v>
      </c>
      <c r="Q9" s="588" t="s">
        <v>5</v>
      </c>
      <c r="R9" s="588" t="s">
        <v>6</v>
      </c>
      <c r="S9" s="588" t="s">
        <v>7</v>
      </c>
      <c r="T9" s="588" t="s">
        <v>8</v>
      </c>
      <c r="U9" s="589" t="s">
        <v>9</v>
      </c>
      <c r="V9" s="568" t="s">
        <v>10</v>
      </c>
      <c r="W9" s="554" t="s">
        <v>11</v>
      </c>
      <c r="X9" s="555" t="s">
        <v>12</v>
      </c>
      <c r="Y9" s="554" t="s">
        <v>13</v>
      </c>
      <c r="Z9" s="555" t="s">
        <v>14</v>
      </c>
      <c r="AA9" s="555" t="s">
        <v>15</v>
      </c>
      <c r="AB9" s="556" t="s">
        <v>16</v>
      </c>
      <c r="AD9" s="551" t="s">
        <v>0</v>
      </c>
      <c r="AE9" s="552" t="s">
        <v>5</v>
      </c>
      <c r="AF9" s="552" t="s">
        <v>6</v>
      </c>
      <c r="AG9" s="552" t="s">
        <v>7</v>
      </c>
      <c r="AH9" s="552" t="s">
        <v>8</v>
      </c>
      <c r="AI9" s="552" t="s">
        <v>9</v>
      </c>
      <c r="AJ9" s="589" t="s">
        <v>10</v>
      </c>
      <c r="AK9" s="568" t="s">
        <v>11</v>
      </c>
      <c r="AL9" s="554" t="s">
        <v>12</v>
      </c>
      <c r="AM9" s="554" t="s">
        <v>13</v>
      </c>
      <c r="AN9" s="554" t="s">
        <v>14</v>
      </c>
      <c r="AO9" s="554" t="s">
        <v>15</v>
      </c>
      <c r="AP9" s="556" t="s">
        <v>16</v>
      </c>
    </row>
    <row r="10" spans="1:42">
      <c r="B10" s="583" t="s">
        <v>76</v>
      </c>
      <c r="C10" s="581" t="s">
        <v>1</v>
      </c>
      <c r="D10" s="581" t="s">
        <v>95</v>
      </c>
      <c r="E10" s="559" t="s">
        <v>94</v>
      </c>
      <c r="F10" s="543" t="s">
        <v>19</v>
      </c>
      <c r="G10" s="543" t="s">
        <v>20</v>
      </c>
      <c r="H10" s="543" t="s">
        <v>21</v>
      </c>
      <c r="I10" s="543" t="s">
        <v>22</v>
      </c>
      <c r="J10" s="543" t="s">
        <v>23</v>
      </c>
      <c r="K10" s="543" t="s">
        <v>24</v>
      </c>
      <c r="L10" s="543" t="s">
        <v>25</v>
      </c>
      <c r="M10" s="543" t="s">
        <v>26</v>
      </c>
      <c r="N10" s="560" t="s">
        <v>191</v>
      </c>
      <c r="P10" s="587" t="s">
        <v>76</v>
      </c>
      <c r="Q10" s="585" t="s">
        <v>1</v>
      </c>
      <c r="R10" s="585" t="s">
        <v>95</v>
      </c>
      <c r="S10" s="543" t="s">
        <v>94</v>
      </c>
      <c r="T10" s="543" t="s">
        <v>19</v>
      </c>
      <c r="U10" s="543" t="s">
        <v>20</v>
      </c>
      <c r="V10" s="543" t="s">
        <v>21</v>
      </c>
      <c r="W10" s="543" t="s">
        <v>22</v>
      </c>
      <c r="X10" s="543" t="s">
        <v>23</v>
      </c>
      <c r="Y10" s="543" t="s">
        <v>24</v>
      </c>
      <c r="Z10" s="543" t="s">
        <v>25</v>
      </c>
      <c r="AA10" s="543" t="s">
        <v>26</v>
      </c>
      <c r="AB10" s="560" t="s">
        <v>191</v>
      </c>
      <c r="AD10" s="557" t="s">
        <v>76</v>
      </c>
      <c r="AE10" s="558" t="s">
        <v>1</v>
      </c>
      <c r="AF10" s="558" t="s">
        <v>95</v>
      </c>
      <c r="AG10" s="569" t="s">
        <v>94</v>
      </c>
      <c r="AH10" s="559" t="s">
        <v>19</v>
      </c>
      <c r="AI10" s="543" t="s">
        <v>20</v>
      </c>
      <c r="AJ10" s="543" t="s">
        <v>21</v>
      </c>
      <c r="AK10" s="543" t="s">
        <v>22</v>
      </c>
      <c r="AL10" s="543" t="s">
        <v>23</v>
      </c>
      <c r="AM10" s="543" t="s">
        <v>24</v>
      </c>
      <c r="AN10" s="543" t="s">
        <v>25</v>
      </c>
      <c r="AO10" s="543" t="s">
        <v>26</v>
      </c>
      <c r="AP10" s="560" t="s">
        <v>191</v>
      </c>
    </row>
    <row r="11" spans="1:42">
      <c r="A11" s="58"/>
      <c r="B11" s="583" t="s">
        <v>77</v>
      </c>
      <c r="C11" s="559" t="s">
        <v>17</v>
      </c>
      <c r="D11" s="581" t="s">
        <v>2</v>
      </c>
      <c r="E11" s="543" t="s">
        <v>97</v>
      </c>
      <c r="F11" s="543" t="s">
        <v>92</v>
      </c>
      <c r="G11" s="543" t="s">
        <v>96</v>
      </c>
      <c r="H11" s="543" t="s">
        <v>73</v>
      </c>
      <c r="I11" s="543" t="s">
        <v>68</v>
      </c>
      <c r="J11" s="543" t="s">
        <v>62</v>
      </c>
      <c r="K11" s="543" t="s">
        <v>55</v>
      </c>
      <c r="L11" s="543" t="s">
        <v>47</v>
      </c>
      <c r="M11" s="543" t="s">
        <v>38</v>
      </c>
      <c r="N11" s="560" t="s">
        <v>30</v>
      </c>
      <c r="P11" s="587" t="s">
        <v>77</v>
      </c>
      <c r="Q11" s="559" t="s">
        <v>17</v>
      </c>
      <c r="R11" s="585" t="s">
        <v>2</v>
      </c>
      <c r="S11" s="543" t="s">
        <v>97</v>
      </c>
      <c r="T11" s="543" t="s">
        <v>92</v>
      </c>
      <c r="U11" s="543" t="s">
        <v>96</v>
      </c>
      <c r="V11" s="543" t="s">
        <v>73</v>
      </c>
      <c r="W11" s="543" t="s">
        <v>68</v>
      </c>
      <c r="X11" s="543" t="s">
        <v>62</v>
      </c>
      <c r="Y11" s="543" t="s">
        <v>55</v>
      </c>
      <c r="Z11" s="543" t="s">
        <v>47</v>
      </c>
      <c r="AA11" s="543" t="s">
        <v>38</v>
      </c>
      <c r="AB11" s="560" t="s">
        <v>30</v>
      </c>
      <c r="AD11" s="557" t="s">
        <v>77</v>
      </c>
      <c r="AE11" s="569" t="s">
        <v>17</v>
      </c>
      <c r="AF11" s="558" t="s">
        <v>2</v>
      </c>
      <c r="AG11" s="559" t="s">
        <v>97</v>
      </c>
      <c r="AH11" s="543" t="s">
        <v>92</v>
      </c>
      <c r="AI11" s="543" t="s">
        <v>96</v>
      </c>
      <c r="AJ11" s="543" t="s">
        <v>73</v>
      </c>
      <c r="AK11" s="543" t="s">
        <v>68</v>
      </c>
      <c r="AL11" s="543" t="s">
        <v>62</v>
      </c>
      <c r="AM11" s="543" t="s">
        <v>55</v>
      </c>
      <c r="AN11" s="543" t="s">
        <v>47</v>
      </c>
      <c r="AO11" s="543" t="s">
        <v>38</v>
      </c>
      <c r="AP11" s="560" t="s">
        <v>30</v>
      </c>
    </row>
    <row r="12" spans="1:42" ht="15" customHeight="1">
      <c r="A12" s="58"/>
      <c r="B12" s="583" t="s">
        <v>78</v>
      </c>
      <c r="C12" s="543" t="s">
        <v>18</v>
      </c>
      <c r="D12" s="543" t="s">
        <v>93</v>
      </c>
      <c r="E12" s="581" t="s">
        <v>3</v>
      </c>
      <c r="F12" s="543" t="s">
        <v>91</v>
      </c>
      <c r="G12" s="543" t="s">
        <v>90</v>
      </c>
      <c r="H12" s="543" t="s">
        <v>74</v>
      </c>
      <c r="I12" s="543" t="s">
        <v>69</v>
      </c>
      <c r="J12" s="543" t="s">
        <v>63</v>
      </c>
      <c r="K12" s="543" t="s">
        <v>56</v>
      </c>
      <c r="L12" s="543" t="s">
        <v>48</v>
      </c>
      <c r="M12" s="543" t="s">
        <v>39</v>
      </c>
      <c r="N12" s="560" t="s">
        <v>28</v>
      </c>
      <c r="P12" s="587" t="s">
        <v>78</v>
      </c>
      <c r="Q12" s="543" t="s">
        <v>18</v>
      </c>
      <c r="R12" s="543" t="s">
        <v>93</v>
      </c>
      <c r="S12" s="585" t="s">
        <v>3</v>
      </c>
      <c r="T12" s="543" t="s">
        <v>91</v>
      </c>
      <c r="U12" s="543" t="s">
        <v>90</v>
      </c>
      <c r="V12" s="543" t="s">
        <v>74</v>
      </c>
      <c r="W12" s="543" t="s">
        <v>69</v>
      </c>
      <c r="X12" s="543" t="s">
        <v>63</v>
      </c>
      <c r="Y12" s="543" t="s">
        <v>56</v>
      </c>
      <c r="Z12" s="543" t="s">
        <v>48</v>
      </c>
      <c r="AA12" s="543" t="s">
        <v>39</v>
      </c>
      <c r="AB12" s="560" t="s">
        <v>28</v>
      </c>
      <c r="AD12" s="557" t="s">
        <v>78</v>
      </c>
      <c r="AE12" s="559" t="s">
        <v>18</v>
      </c>
      <c r="AF12" s="543" t="s">
        <v>93</v>
      </c>
      <c r="AG12" s="558" t="s">
        <v>3</v>
      </c>
      <c r="AH12" s="543" t="s">
        <v>91</v>
      </c>
      <c r="AI12" s="543" t="s">
        <v>90</v>
      </c>
      <c r="AJ12" s="543" t="s">
        <v>74</v>
      </c>
      <c r="AK12" s="543" t="s">
        <v>69</v>
      </c>
      <c r="AL12" s="543" t="s">
        <v>63</v>
      </c>
      <c r="AM12" s="543" t="s">
        <v>56</v>
      </c>
      <c r="AN12" s="543" t="s">
        <v>48</v>
      </c>
      <c r="AO12" s="543" t="s">
        <v>39</v>
      </c>
      <c r="AP12" s="560" t="s">
        <v>28</v>
      </c>
    </row>
    <row r="13" spans="1:42" ht="15" customHeight="1">
      <c r="A13" s="58"/>
      <c r="B13" s="561" t="s">
        <v>79</v>
      </c>
      <c r="C13" s="543" t="s">
        <v>98</v>
      </c>
      <c r="D13" s="543" t="s">
        <v>99</v>
      </c>
      <c r="E13" s="543" t="s">
        <v>100</v>
      </c>
      <c r="F13" s="581" t="s">
        <v>4</v>
      </c>
      <c r="G13" s="543" t="s">
        <v>89</v>
      </c>
      <c r="H13" s="543" t="s">
        <v>75</v>
      </c>
      <c r="I13" s="543" t="s">
        <v>70</v>
      </c>
      <c r="J13" s="543" t="s">
        <v>64</v>
      </c>
      <c r="K13" s="543" t="s">
        <v>57</v>
      </c>
      <c r="L13" s="543" t="s">
        <v>49</v>
      </c>
      <c r="M13" s="543" t="s">
        <v>40</v>
      </c>
      <c r="N13" s="560" t="s">
        <v>29</v>
      </c>
      <c r="P13" s="587" t="s">
        <v>79</v>
      </c>
      <c r="Q13" s="543" t="s">
        <v>98</v>
      </c>
      <c r="R13" s="543" t="s">
        <v>99</v>
      </c>
      <c r="S13" s="543" t="s">
        <v>100</v>
      </c>
      <c r="T13" s="585" t="s">
        <v>4</v>
      </c>
      <c r="U13" s="543" t="s">
        <v>89</v>
      </c>
      <c r="V13" s="543" t="s">
        <v>75</v>
      </c>
      <c r="W13" s="543" t="s">
        <v>70</v>
      </c>
      <c r="X13" s="543" t="s">
        <v>64</v>
      </c>
      <c r="Y13" s="543" t="s">
        <v>57</v>
      </c>
      <c r="Z13" s="543" t="s">
        <v>49</v>
      </c>
      <c r="AA13" s="543" t="s">
        <v>40</v>
      </c>
      <c r="AB13" s="560" t="s">
        <v>29</v>
      </c>
      <c r="AD13" s="557" t="s">
        <v>79</v>
      </c>
      <c r="AE13" s="543" t="s">
        <v>98</v>
      </c>
      <c r="AF13" s="543" t="s">
        <v>99</v>
      </c>
      <c r="AG13" s="543" t="s">
        <v>100</v>
      </c>
      <c r="AH13" s="558" t="s">
        <v>4</v>
      </c>
      <c r="AI13" s="543" t="s">
        <v>89</v>
      </c>
      <c r="AJ13" s="543" t="s">
        <v>75</v>
      </c>
      <c r="AK13" s="543" t="s">
        <v>70</v>
      </c>
      <c r="AL13" s="543" t="s">
        <v>64</v>
      </c>
      <c r="AM13" s="543" t="s">
        <v>57</v>
      </c>
      <c r="AN13" s="543" t="s">
        <v>49</v>
      </c>
      <c r="AO13" s="543" t="s">
        <v>40</v>
      </c>
      <c r="AP13" s="560" t="s">
        <v>29</v>
      </c>
    </row>
    <row r="14" spans="1:42" ht="15" customHeight="1">
      <c r="A14" s="58"/>
      <c r="B14" s="562" t="s">
        <v>80</v>
      </c>
      <c r="C14" s="543" t="s">
        <v>101</v>
      </c>
      <c r="D14" s="543" t="s">
        <v>109</v>
      </c>
      <c r="E14" s="543" t="s">
        <v>117</v>
      </c>
      <c r="F14" s="543" t="s">
        <v>125</v>
      </c>
      <c r="G14" s="581">
        <v>99</v>
      </c>
      <c r="H14" s="543" t="s">
        <v>88</v>
      </c>
      <c r="I14" s="543" t="s">
        <v>71</v>
      </c>
      <c r="J14" s="543" t="s">
        <v>65</v>
      </c>
      <c r="K14" s="543" t="s">
        <v>58</v>
      </c>
      <c r="L14" s="543" t="s">
        <v>50</v>
      </c>
      <c r="M14" s="543" t="s">
        <v>41</v>
      </c>
      <c r="N14" s="560" t="s">
        <v>31</v>
      </c>
      <c r="P14" s="562" t="s">
        <v>80</v>
      </c>
      <c r="Q14" s="543" t="s">
        <v>101</v>
      </c>
      <c r="R14" s="543" t="s">
        <v>109</v>
      </c>
      <c r="S14" s="543" t="s">
        <v>117</v>
      </c>
      <c r="T14" s="543" t="s">
        <v>125</v>
      </c>
      <c r="U14" s="585">
        <v>99</v>
      </c>
      <c r="V14" s="543" t="s">
        <v>88</v>
      </c>
      <c r="W14" s="543" t="s">
        <v>71</v>
      </c>
      <c r="X14" s="543" t="s">
        <v>65</v>
      </c>
      <c r="Y14" s="543" t="s">
        <v>58</v>
      </c>
      <c r="Z14" s="543" t="s">
        <v>50</v>
      </c>
      <c r="AA14" s="543" t="s">
        <v>41</v>
      </c>
      <c r="AB14" s="560" t="s">
        <v>31</v>
      </c>
      <c r="AD14" s="570" t="s">
        <v>80</v>
      </c>
      <c r="AE14" s="543" t="s">
        <v>101</v>
      </c>
      <c r="AF14" s="543" t="s">
        <v>109</v>
      </c>
      <c r="AG14" s="543" t="s">
        <v>117</v>
      </c>
      <c r="AH14" s="543" t="s">
        <v>125</v>
      </c>
      <c r="AI14" s="558">
        <v>99</v>
      </c>
      <c r="AJ14" s="543" t="s">
        <v>88</v>
      </c>
      <c r="AK14" s="543" t="s">
        <v>71</v>
      </c>
      <c r="AL14" s="543" t="s">
        <v>65</v>
      </c>
      <c r="AM14" s="543" t="s">
        <v>58</v>
      </c>
      <c r="AN14" s="543" t="s">
        <v>50</v>
      </c>
      <c r="AO14" s="543" t="s">
        <v>41</v>
      </c>
      <c r="AP14" s="560" t="s">
        <v>31</v>
      </c>
    </row>
    <row r="15" spans="1:42" ht="15" customHeight="1">
      <c r="A15" s="58"/>
      <c r="B15" s="563" t="s">
        <v>81</v>
      </c>
      <c r="C15" s="543" t="s">
        <v>102</v>
      </c>
      <c r="D15" s="543" t="s">
        <v>110</v>
      </c>
      <c r="E15" s="543" t="s">
        <v>118</v>
      </c>
      <c r="F15" s="543" t="s">
        <v>126</v>
      </c>
      <c r="G15" s="543" t="s">
        <v>133</v>
      </c>
      <c r="H15" s="581">
        <v>88</v>
      </c>
      <c r="I15" s="543" t="s">
        <v>72</v>
      </c>
      <c r="J15" s="543" t="s">
        <v>66</v>
      </c>
      <c r="K15" s="543" t="s">
        <v>59</v>
      </c>
      <c r="L15" s="543" t="s">
        <v>51</v>
      </c>
      <c r="M15" s="543" t="s">
        <v>42</v>
      </c>
      <c r="N15" s="560" t="s">
        <v>32</v>
      </c>
      <c r="P15" s="563" t="s">
        <v>81</v>
      </c>
      <c r="Q15" s="543" t="s">
        <v>102</v>
      </c>
      <c r="R15" s="543" t="s">
        <v>110</v>
      </c>
      <c r="S15" s="543" t="s">
        <v>118</v>
      </c>
      <c r="T15" s="543" t="s">
        <v>126</v>
      </c>
      <c r="U15" s="543" t="s">
        <v>133</v>
      </c>
      <c r="V15" s="585">
        <v>88</v>
      </c>
      <c r="W15" s="543" t="s">
        <v>72</v>
      </c>
      <c r="X15" s="543" t="s">
        <v>66</v>
      </c>
      <c r="Y15" s="543" t="s">
        <v>59</v>
      </c>
      <c r="Z15" s="543" t="s">
        <v>51</v>
      </c>
      <c r="AA15" s="543" t="s">
        <v>42</v>
      </c>
      <c r="AB15" s="560" t="s">
        <v>32</v>
      </c>
      <c r="AD15" s="562" t="s">
        <v>81</v>
      </c>
      <c r="AE15" s="543" t="s">
        <v>102</v>
      </c>
      <c r="AF15" s="543" t="s">
        <v>110</v>
      </c>
      <c r="AG15" s="543" t="s">
        <v>118</v>
      </c>
      <c r="AH15" s="543" t="s">
        <v>126</v>
      </c>
      <c r="AI15" s="543" t="s">
        <v>133</v>
      </c>
      <c r="AJ15" s="558">
        <v>88</v>
      </c>
      <c r="AK15" s="543" t="s">
        <v>72</v>
      </c>
      <c r="AL15" s="543" t="s">
        <v>66</v>
      </c>
      <c r="AM15" s="543" t="s">
        <v>59</v>
      </c>
      <c r="AN15" s="543" t="s">
        <v>51</v>
      </c>
      <c r="AO15" s="543" t="s">
        <v>42</v>
      </c>
      <c r="AP15" s="560" t="s">
        <v>32</v>
      </c>
    </row>
    <row r="16" spans="1:42" ht="15" customHeight="1">
      <c r="A16" s="58"/>
      <c r="B16" s="563" t="s">
        <v>82</v>
      </c>
      <c r="C16" s="543" t="s">
        <v>103</v>
      </c>
      <c r="D16" s="543" t="s">
        <v>111</v>
      </c>
      <c r="E16" s="543" t="s">
        <v>119</v>
      </c>
      <c r="F16" s="543" t="s">
        <v>127</v>
      </c>
      <c r="G16" s="543" t="s">
        <v>134</v>
      </c>
      <c r="H16" s="543" t="s">
        <v>140</v>
      </c>
      <c r="I16" s="581">
        <v>77</v>
      </c>
      <c r="J16" s="543" t="s">
        <v>67</v>
      </c>
      <c r="K16" s="543" t="s">
        <v>60</v>
      </c>
      <c r="L16" s="543" t="s">
        <v>52</v>
      </c>
      <c r="M16" s="543" t="s">
        <v>43</v>
      </c>
      <c r="N16" s="560" t="s">
        <v>33</v>
      </c>
      <c r="P16" s="563" t="s">
        <v>82</v>
      </c>
      <c r="Q16" s="543" t="s">
        <v>103</v>
      </c>
      <c r="R16" s="543" t="s">
        <v>111</v>
      </c>
      <c r="S16" s="543" t="s">
        <v>119</v>
      </c>
      <c r="T16" s="543" t="s">
        <v>127</v>
      </c>
      <c r="U16" s="543" t="s">
        <v>134</v>
      </c>
      <c r="V16" s="543" t="s">
        <v>140</v>
      </c>
      <c r="W16" s="585">
        <v>77</v>
      </c>
      <c r="X16" s="543" t="s">
        <v>67</v>
      </c>
      <c r="Y16" s="543" t="s">
        <v>60</v>
      </c>
      <c r="Z16" s="543" t="s">
        <v>52</v>
      </c>
      <c r="AA16" s="543" t="s">
        <v>43</v>
      </c>
      <c r="AB16" s="560" t="s">
        <v>33</v>
      </c>
      <c r="AD16" s="563" t="s">
        <v>82</v>
      </c>
      <c r="AE16" s="543" t="s">
        <v>103</v>
      </c>
      <c r="AF16" s="543" t="s">
        <v>111</v>
      </c>
      <c r="AG16" s="543" t="s">
        <v>119</v>
      </c>
      <c r="AH16" s="543" t="s">
        <v>127</v>
      </c>
      <c r="AI16" s="543" t="s">
        <v>134</v>
      </c>
      <c r="AJ16" s="543" t="s">
        <v>140</v>
      </c>
      <c r="AK16" s="558">
        <v>77</v>
      </c>
      <c r="AL16" s="543" t="s">
        <v>67</v>
      </c>
      <c r="AM16" s="543" t="s">
        <v>60</v>
      </c>
      <c r="AN16" s="543" t="s">
        <v>52</v>
      </c>
      <c r="AO16" s="543" t="s">
        <v>43</v>
      </c>
      <c r="AP16" s="560" t="s">
        <v>33</v>
      </c>
    </row>
    <row r="17" spans="1:42" ht="15" customHeight="1">
      <c r="A17" s="58"/>
      <c r="B17" s="563" t="s">
        <v>83</v>
      </c>
      <c r="C17" s="543" t="s">
        <v>108</v>
      </c>
      <c r="D17" s="543" t="s">
        <v>112</v>
      </c>
      <c r="E17" s="543" t="s">
        <v>120</v>
      </c>
      <c r="F17" s="543" t="s">
        <v>128</v>
      </c>
      <c r="G17" s="543" t="s">
        <v>135</v>
      </c>
      <c r="H17" s="543" t="s">
        <v>141</v>
      </c>
      <c r="I17" s="543" t="s">
        <v>146</v>
      </c>
      <c r="J17" s="590">
        <v>66</v>
      </c>
      <c r="K17" s="543" t="s">
        <v>61</v>
      </c>
      <c r="L17" s="543" t="s">
        <v>53</v>
      </c>
      <c r="M17" s="543" t="s">
        <v>44</v>
      </c>
      <c r="N17" s="560" t="s">
        <v>34</v>
      </c>
      <c r="P17" s="563" t="s">
        <v>83</v>
      </c>
      <c r="Q17" s="543" t="s">
        <v>108</v>
      </c>
      <c r="R17" s="543" t="s">
        <v>112</v>
      </c>
      <c r="S17" s="543" t="s">
        <v>120</v>
      </c>
      <c r="T17" s="543" t="s">
        <v>128</v>
      </c>
      <c r="U17" s="543" t="s">
        <v>135</v>
      </c>
      <c r="V17" s="543" t="s">
        <v>141</v>
      </c>
      <c r="W17" s="543" t="s">
        <v>146</v>
      </c>
      <c r="X17" s="585">
        <v>66</v>
      </c>
      <c r="Y17" s="593" t="s">
        <v>61</v>
      </c>
      <c r="Z17" s="543" t="s">
        <v>53</v>
      </c>
      <c r="AA17" s="543" t="s">
        <v>44</v>
      </c>
      <c r="AB17" s="560" t="s">
        <v>34</v>
      </c>
      <c r="AD17" s="563" t="s">
        <v>83</v>
      </c>
      <c r="AE17" s="543" t="s">
        <v>108</v>
      </c>
      <c r="AF17" s="543" t="s">
        <v>112</v>
      </c>
      <c r="AG17" s="543" t="s">
        <v>120</v>
      </c>
      <c r="AH17" s="543" t="s">
        <v>128</v>
      </c>
      <c r="AI17" s="543" t="s">
        <v>135</v>
      </c>
      <c r="AJ17" s="543" t="s">
        <v>141</v>
      </c>
      <c r="AK17" s="543" t="s">
        <v>146</v>
      </c>
      <c r="AL17" s="558">
        <v>66</v>
      </c>
      <c r="AM17" s="543" t="s">
        <v>61</v>
      </c>
      <c r="AN17" s="543" t="s">
        <v>53</v>
      </c>
      <c r="AO17" s="543" t="s">
        <v>44</v>
      </c>
      <c r="AP17" s="560" t="s">
        <v>34</v>
      </c>
    </row>
    <row r="18" spans="1:42" ht="15" customHeight="1">
      <c r="A18" s="58"/>
      <c r="B18" s="563" t="s">
        <v>84</v>
      </c>
      <c r="C18" s="543" t="s">
        <v>104</v>
      </c>
      <c r="D18" s="543" t="s">
        <v>113</v>
      </c>
      <c r="E18" s="543" t="s">
        <v>121</v>
      </c>
      <c r="F18" s="543" t="s">
        <v>129</v>
      </c>
      <c r="G18" s="543" t="s">
        <v>136</v>
      </c>
      <c r="H18" s="543" t="s">
        <v>142</v>
      </c>
      <c r="I18" s="543" t="s">
        <v>147</v>
      </c>
      <c r="J18" s="543" t="s">
        <v>151</v>
      </c>
      <c r="K18" s="564">
        <v>55</v>
      </c>
      <c r="L18" s="543" t="s">
        <v>54</v>
      </c>
      <c r="M18" s="543" t="s">
        <v>45</v>
      </c>
      <c r="N18" s="560" t="s">
        <v>35</v>
      </c>
      <c r="P18" s="563" t="s">
        <v>84</v>
      </c>
      <c r="Q18" s="543" t="s">
        <v>104</v>
      </c>
      <c r="R18" s="543" t="s">
        <v>113</v>
      </c>
      <c r="S18" s="543" t="s">
        <v>121</v>
      </c>
      <c r="T18" s="543" t="s">
        <v>129</v>
      </c>
      <c r="U18" s="543" t="s">
        <v>136</v>
      </c>
      <c r="V18" s="543" t="s">
        <v>142</v>
      </c>
      <c r="W18" s="543" t="s">
        <v>147</v>
      </c>
      <c r="X18" s="591" t="s">
        <v>151</v>
      </c>
      <c r="Y18" s="595">
        <v>55</v>
      </c>
      <c r="Z18" s="592" t="s">
        <v>54</v>
      </c>
      <c r="AA18" s="543" t="s">
        <v>45</v>
      </c>
      <c r="AB18" s="560" t="s">
        <v>35</v>
      </c>
      <c r="AD18" s="563" t="s">
        <v>84</v>
      </c>
      <c r="AE18" s="543" t="s">
        <v>104</v>
      </c>
      <c r="AF18" s="543" t="s">
        <v>113</v>
      </c>
      <c r="AG18" s="543" t="s">
        <v>121</v>
      </c>
      <c r="AH18" s="543" t="s">
        <v>129</v>
      </c>
      <c r="AI18" s="543" t="s">
        <v>136</v>
      </c>
      <c r="AJ18" s="543" t="s">
        <v>142</v>
      </c>
      <c r="AK18" s="543" t="s">
        <v>147</v>
      </c>
      <c r="AL18" s="543" t="s">
        <v>151</v>
      </c>
      <c r="AM18" s="558">
        <v>55</v>
      </c>
      <c r="AN18" s="543" t="s">
        <v>54</v>
      </c>
      <c r="AO18" s="543" t="s">
        <v>45</v>
      </c>
      <c r="AP18" s="560" t="s">
        <v>35</v>
      </c>
    </row>
    <row r="19" spans="1:42" ht="15" customHeight="1">
      <c r="A19" s="58"/>
      <c r="B19" s="563" t="s">
        <v>85</v>
      </c>
      <c r="C19" s="543" t="s">
        <v>105</v>
      </c>
      <c r="D19" s="543" t="s">
        <v>114</v>
      </c>
      <c r="E19" s="543" t="s">
        <v>122</v>
      </c>
      <c r="F19" s="543" t="s">
        <v>130</v>
      </c>
      <c r="G19" s="543" t="s">
        <v>137</v>
      </c>
      <c r="H19" s="543" t="s">
        <v>143</v>
      </c>
      <c r="I19" s="543" t="s">
        <v>148</v>
      </c>
      <c r="J19" s="543" t="s">
        <v>152</v>
      </c>
      <c r="K19" s="543" t="s">
        <v>155</v>
      </c>
      <c r="L19" s="543">
        <v>44</v>
      </c>
      <c r="M19" s="543" t="s">
        <v>46</v>
      </c>
      <c r="N19" s="560" t="s">
        <v>36</v>
      </c>
      <c r="P19" s="563" t="s">
        <v>85</v>
      </c>
      <c r="Q19" s="543" t="s">
        <v>105</v>
      </c>
      <c r="R19" s="543" t="s">
        <v>114</v>
      </c>
      <c r="S19" s="543" t="s">
        <v>122</v>
      </c>
      <c r="T19" s="543" t="s">
        <v>130</v>
      </c>
      <c r="U19" s="543" t="s">
        <v>137</v>
      </c>
      <c r="V19" s="543" t="s">
        <v>143</v>
      </c>
      <c r="W19" s="543" t="s">
        <v>148</v>
      </c>
      <c r="X19" s="543" t="s">
        <v>152</v>
      </c>
      <c r="Y19" s="594" t="s">
        <v>155</v>
      </c>
      <c r="Z19" s="569">
        <v>44</v>
      </c>
      <c r="AA19" s="543" t="s">
        <v>46</v>
      </c>
      <c r="AB19" s="560" t="s">
        <v>36</v>
      </c>
      <c r="AD19" s="563" t="s">
        <v>85</v>
      </c>
      <c r="AE19" s="543" t="s">
        <v>105</v>
      </c>
      <c r="AF19" s="543" t="s">
        <v>114</v>
      </c>
      <c r="AG19" s="543" t="s">
        <v>122</v>
      </c>
      <c r="AH19" s="543" t="s">
        <v>130</v>
      </c>
      <c r="AI19" s="543" t="s">
        <v>137</v>
      </c>
      <c r="AJ19" s="543" t="s">
        <v>143</v>
      </c>
      <c r="AK19" s="543" t="s">
        <v>148</v>
      </c>
      <c r="AL19" s="543" t="s">
        <v>152</v>
      </c>
      <c r="AM19" s="543" t="s">
        <v>155</v>
      </c>
      <c r="AN19" s="569">
        <v>44</v>
      </c>
      <c r="AO19" s="543" t="s">
        <v>46</v>
      </c>
      <c r="AP19" s="560" t="s">
        <v>36</v>
      </c>
    </row>
    <row r="20" spans="1:42" ht="15" customHeight="1">
      <c r="A20" s="58"/>
      <c r="B20" s="563" t="s">
        <v>86</v>
      </c>
      <c r="C20" s="543" t="s">
        <v>106</v>
      </c>
      <c r="D20" s="543" t="s">
        <v>115</v>
      </c>
      <c r="E20" s="543" t="s">
        <v>123</v>
      </c>
      <c r="F20" s="543" t="s">
        <v>131</v>
      </c>
      <c r="G20" s="543" t="s">
        <v>138</v>
      </c>
      <c r="H20" s="543" t="s">
        <v>144</v>
      </c>
      <c r="I20" s="543" t="s">
        <v>149</v>
      </c>
      <c r="J20" s="543" t="s">
        <v>153</v>
      </c>
      <c r="K20" s="543" t="s">
        <v>156</v>
      </c>
      <c r="L20" s="543" t="s">
        <v>158</v>
      </c>
      <c r="M20" s="543">
        <v>33</v>
      </c>
      <c r="N20" s="560" t="s">
        <v>37</v>
      </c>
      <c r="P20" s="563" t="s">
        <v>86</v>
      </c>
      <c r="Q20" s="543" t="s">
        <v>106</v>
      </c>
      <c r="R20" s="543" t="s">
        <v>115</v>
      </c>
      <c r="S20" s="543" t="s">
        <v>123</v>
      </c>
      <c r="T20" s="543" t="s">
        <v>131</v>
      </c>
      <c r="U20" s="543" t="s">
        <v>138</v>
      </c>
      <c r="V20" s="543" t="s">
        <v>144</v>
      </c>
      <c r="W20" s="543" t="s">
        <v>149</v>
      </c>
      <c r="X20" s="543" t="s">
        <v>153</v>
      </c>
      <c r="Y20" s="543" t="s">
        <v>156</v>
      </c>
      <c r="Z20" s="543" t="s">
        <v>158</v>
      </c>
      <c r="AA20" s="559">
        <v>33</v>
      </c>
      <c r="AB20" s="560" t="s">
        <v>37</v>
      </c>
      <c r="AD20" s="563" t="s">
        <v>86</v>
      </c>
      <c r="AE20" s="543" t="s">
        <v>106</v>
      </c>
      <c r="AF20" s="543" t="s">
        <v>115</v>
      </c>
      <c r="AG20" s="543" t="s">
        <v>123</v>
      </c>
      <c r="AH20" s="543" t="s">
        <v>131</v>
      </c>
      <c r="AI20" s="543" t="s">
        <v>138</v>
      </c>
      <c r="AJ20" s="543" t="s">
        <v>144</v>
      </c>
      <c r="AK20" s="543" t="s">
        <v>149</v>
      </c>
      <c r="AL20" s="543" t="s">
        <v>153</v>
      </c>
      <c r="AM20" s="543" t="s">
        <v>156</v>
      </c>
      <c r="AN20" s="543" t="s">
        <v>158</v>
      </c>
      <c r="AO20" s="559">
        <v>33</v>
      </c>
      <c r="AP20" s="560" t="s">
        <v>37</v>
      </c>
    </row>
    <row r="21" spans="1:42" ht="15" customHeight="1" thickBot="1">
      <c r="A21" s="58"/>
      <c r="B21" s="565" t="s">
        <v>87</v>
      </c>
      <c r="C21" s="566" t="s">
        <v>107</v>
      </c>
      <c r="D21" s="566" t="s">
        <v>116</v>
      </c>
      <c r="E21" s="566" t="s">
        <v>124</v>
      </c>
      <c r="F21" s="566" t="s">
        <v>132</v>
      </c>
      <c r="G21" s="566" t="s">
        <v>139</v>
      </c>
      <c r="H21" s="566" t="s">
        <v>145</v>
      </c>
      <c r="I21" s="566" t="s">
        <v>150</v>
      </c>
      <c r="J21" s="566" t="s">
        <v>154</v>
      </c>
      <c r="K21" s="566" t="s">
        <v>157</v>
      </c>
      <c r="L21" s="566" t="s">
        <v>160</v>
      </c>
      <c r="M21" s="566" t="s">
        <v>159</v>
      </c>
      <c r="N21" s="567">
        <v>22</v>
      </c>
      <c r="P21" s="565" t="s">
        <v>87</v>
      </c>
      <c r="Q21" s="566" t="s">
        <v>107</v>
      </c>
      <c r="R21" s="566" t="s">
        <v>116</v>
      </c>
      <c r="S21" s="566" t="s">
        <v>124</v>
      </c>
      <c r="T21" s="566" t="s">
        <v>132</v>
      </c>
      <c r="U21" s="566" t="s">
        <v>139</v>
      </c>
      <c r="V21" s="566" t="s">
        <v>145</v>
      </c>
      <c r="W21" s="566" t="s">
        <v>150</v>
      </c>
      <c r="X21" s="566" t="s">
        <v>154</v>
      </c>
      <c r="Y21" s="566" t="s">
        <v>157</v>
      </c>
      <c r="Z21" s="566" t="s">
        <v>160</v>
      </c>
      <c r="AA21" s="566" t="s">
        <v>159</v>
      </c>
      <c r="AB21" s="567">
        <v>22</v>
      </c>
      <c r="AD21" s="565" t="s">
        <v>87</v>
      </c>
      <c r="AE21" s="566" t="s">
        <v>107</v>
      </c>
      <c r="AF21" s="566" t="s">
        <v>116</v>
      </c>
      <c r="AG21" s="566" t="s">
        <v>124</v>
      </c>
      <c r="AH21" s="566" t="s">
        <v>132</v>
      </c>
      <c r="AI21" s="566" t="s">
        <v>139</v>
      </c>
      <c r="AJ21" s="566" t="s">
        <v>145</v>
      </c>
      <c r="AK21" s="566" t="s">
        <v>150</v>
      </c>
      <c r="AL21" s="566" t="s">
        <v>154</v>
      </c>
      <c r="AM21" s="566" t="s">
        <v>157</v>
      </c>
      <c r="AN21" s="566" t="s">
        <v>160</v>
      </c>
      <c r="AO21" s="566" t="s">
        <v>159</v>
      </c>
      <c r="AP21" s="567">
        <v>22</v>
      </c>
    </row>
    <row r="22" spans="1:42" ht="15" customHeight="1" thickBot="1">
      <c r="A22" s="58"/>
    </row>
    <row r="23" spans="1:42" ht="15" customHeight="1" thickBot="1">
      <c r="A23" s="58"/>
      <c r="B23" s="808" t="s">
        <v>343</v>
      </c>
      <c r="C23" s="809"/>
      <c r="D23" s="809"/>
      <c r="E23" s="809"/>
      <c r="F23" s="809"/>
      <c r="G23" s="809"/>
      <c r="H23" s="809"/>
      <c r="I23" s="809"/>
      <c r="J23" s="809"/>
      <c r="K23" s="809"/>
      <c r="L23" s="809"/>
      <c r="M23" s="809"/>
      <c r="N23" s="810"/>
      <c r="P23" s="808" t="s">
        <v>344</v>
      </c>
      <c r="Q23" s="809"/>
      <c r="R23" s="809"/>
      <c r="S23" s="809"/>
      <c r="T23" s="809"/>
      <c r="U23" s="809"/>
      <c r="V23" s="809"/>
      <c r="W23" s="809"/>
      <c r="X23" s="809"/>
      <c r="Y23" s="809"/>
      <c r="Z23" s="809"/>
      <c r="AA23" s="809"/>
      <c r="AB23" s="810"/>
      <c r="AD23" s="808" t="s">
        <v>345</v>
      </c>
      <c r="AE23" s="809"/>
      <c r="AF23" s="809"/>
      <c r="AG23" s="809"/>
      <c r="AH23" s="809"/>
      <c r="AI23" s="809"/>
      <c r="AJ23" s="809"/>
      <c r="AK23" s="809"/>
      <c r="AL23" s="809"/>
      <c r="AM23" s="809"/>
      <c r="AN23" s="809"/>
      <c r="AO23" s="809"/>
      <c r="AP23" s="810"/>
    </row>
    <row r="24" spans="1:42" ht="15" customHeight="1">
      <c r="A24" s="58"/>
      <c r="B24" s="598" t="s">
        <v>0</v>
      </c>
      <c r="C24" s="597" t="s">
        <v>5</v>
      </c>
      <c r="D24" s="597" t="s">
        <v>6</v>
      </c>
      <c r="E24" s="597" t="s">
        <v>7</v>
      </c>
      <c r="F24" s="597" t="s">
        <v>8</v>
      </c>
      <c r="G24" s="597" t="s">
        <v>9</v>
      </c>
      <c r="H24" s="597" t="s">
        <v>10</v>
      </c>
      <c r="I24" s="597" t="s">
        <v>11</v>
      </c>
      <c r="J24" s="603" t="s">
        <v>12</v>
      </c>
      <c r="K24" s="603" t="s">
        <v>13</v>
      </c>
      <c r="L24" s="603" t="s">
        <v>14</v>
      </c>
      <c r="M24" s="603" t="s">
        <v>15</v>
      </c>
      <c r="N24" s="604" t="s">
        <v>16</v>
      </c>
      <c r="P24" s="607" t="s">
        <v>0</v>
      </c>
      <c r="Q24" s="589" t="s">
        <v>5</v>
      </c>
      <c r="R24" s="589" t="s">
        <v>6</v>
      </c>
      <c r="S24" s="589" t="s">
        <v>7</v>
      </c>
      <c r="T24" s="589" t="s">
        <v>8</v>
      </c>
      <c r="U24" s="589" t="s">
        <v>9</v>
      </c>
      <c r="V24" s="589" t="s">
        <v>10</v>
      </c>
      <c r="W24" s="589" t="s">
        <v>11</v>
      </c>
      <c r="X24" s="589" t="s">
        <v>12</v>
      </c>
      <c r="Y24" s="589" t="s">
        <v>13</v>
      </c>
      <c r="Z24" s="589" t="s">
        <v>14</v>
      </c>
      <c r="AA24" s="603" t="s">
        <v>15</v>
      </c>
      <c r="AB24" s="608" t="s">
        <v>16</v>
      </c>
      <c r="AD24" s="612" t="s">
        <v>0</v>
      </c>
      <c r="AE24" s="603" t="s">
        <v>5</v>
      </c>
      <c r="AF24" s="603" t="s">
        <v>6</v>
      </c>
      <c r="AG24" s="603" t="s">
        <v>7</v>
      </c>
      <c r="AH24" s="603" t="s">
        <v>8</v>
      </c>
      <c r="AI24" s="603" t="s">
        <v>9</v>
      </c>
      <c r="AJ24" s="603" t="s">
        <v>10</v>
      </c>
      <c r="AK24" s="603" t="s">
        <v>11</v>
      </c>
      <c r="AL24" s="603" t="s">
        <v>12</v>
      </c>
      <c r="AM24" s="603" t="s">
        <v>13</v>
      </c>
      <c r="AN24" s="603" t="s">
        <v>14</v>
      </c>
      <c r="AO24" s="603" t="s">
        <v>15</v>
      </c>
      <c r="AP24" s="608" t="s">
        <v>16</v>
      </c>
    </row>
    <row r="25" spans="1:42" ht="15" customHeight="1">
      <c r="A25" s="58"/>
      <c r="B25" s="599" t="s">
        <v>76</v>
      </c>
      <c r="C25" s="596" t="s">
        <v>1</v>
      </c>
      <c r="D25" s="596" t="s">
        <v>95</v>
      </c>
      <c r="E25" s="596" t="s">
        <v>94</v>
      </c>
      <c r="F25" s="596" t="s">
        <v>19</v>
      </c>
      <c r="G25" s="559" t="s">
        <v>20</v>
      </c>
      <c r="H25" s="543" t="s">
        <v>21</v>
      </c>
      <c r="I25" s="543" t="s">
        <v>22</v>
      </c>
      <c r="J25" s="543" t="s">
        <v>23</v>
      </c>
      <c r="K25" s="543" t="s">
        <v>24</v>
      </c>
      <c r="L25" s="543" t="s">
        <v>25</v>
      </c>
      <c r="M25" s="543" t="s">
        <v>26</v>
      </c>
      <c r="N25" s="560" t="s">
        <v>191</v>
      </c>
      <c r="P25" s="600" t="s">
        <v>76</v>
      </c>
      <c r="Q25" s="590" t="s">
        <v>1</v>
      </c>
      <c r="R25" s="590" t="s">
        <v>95</v>
      </c>
      <c r="S25" s="590" t="s">
        <v>94</v>
      </c>
      <c r="T25" s="590" t="s">
        <v>19</v>
      </c>
      <c r="U25" s="602" t="s">
        <v>20</v>
      </c>
      <c r="V25" s="559" t="s">
        <v>21</v>
      </c>
      <c r="W25" s="559" t="s">
        <v>22</v>
      </c>
      <c r="X25" s="610" t="s">
        <v>23</v>
      </c>
      <c r="Y25" s="543" t="s">
        <v>24</v>
      </c>
      <c r="Z25" s="543" t="s">
        <v>25</v>
      </c>
      <c r="AA25" s="543" t="s">
        <v>26</v>
      </c>
      <c r="AB25" s="560" t="s">
        <v>191</v>
      </c>
      <c r="AD25" s="601" t="s">
        <v>76</v>
      </c>
      <c r="AE25" s="602" t="s">
        <v>1</v>
      </c>
      <c r="AF25" s="602" t="s">
        <v>95</v>
      </c>
      <c r="AG25" s="602" t="s">
        <v>94</v>
      </c>
      <c r="AH25" s="602" t="s">
        <v>19</v>
      </c>
      <c r="AI25" s="602" t="s">
        <v>20</v>
      </c>
      <c r="AJ25" s="602" t="s">
        <v>21</v>
      </c>
      <c r="AK25" s="602" t="s">
        <v>22</v>
      </c>
      <c r="AL25" s="602" t="s">
        <v>23</v>
      </c>
      <c r="AM25" s="559" t="s">
        <v>24</v>
      </c>
      <c r="AN25" s="559" t="s">
        <v>25</v>
      </c>
      <c r="AO25" s="559" t="s">
        <v>26</v>
      </c>
      <c r="AP25" s="615" t="s">
        <v>191</v>
      </c>
    </row>
    <row r="26" spans="1:42" ht="15" customHeight="1">
      <c r="A26" s="58"/>
      <c r="B26" s="599" t="s">
        <v>77</v>
      </c>
      <c r="C26" s="596" t="s">
        <v>17</v>
      </c>
      <c r="D26" s="596" t="s">
        <v>2</v>
      </c>
      <c r="E26" s="602" t="s">
        <v>97</v>
      </c>
      <c r="F26" s="559" t="s">
        <v>92</v>
      </c>
      <c r="G26" s="543" t="s">
        <v>96</v>
      </c>
      <c r="H26" s="543" t="s">
        <v>73</v>
      </c>
      <c r="I26" s="543" t="s">
        <v>68</v>
      </c>
      <c r="J26" s="543" t="s">
        <v>62</v>
      </c>
      <c r="K26" s="543" t="s">
        <v>55</v>
      </c>
      <c r="L26" s="543" t="s">
        <v>47</v>
      </c>
      <c r="M26" s="543" t="s">
        <v>38</v>
      </c>
      <c r="N26" s="560" t="s">
        <v>30</v>
      </c>
      <c r="P26" s="600" t="s">
        <v>77</v>
      </c>
      <c r="Q26" s="590" t="s">
        <v>17</v>
      </c>
      <c r="R26" s="590" t="s">
        <v>2</v>
      </c>
      <c r="S26" s="590" t="s">
        <v>97</v>
      </c>
      <c r="T26" s="602" t="s">
        <v>92</v>
      </c>
      <c r="U26" s="559" t="s">
        <v>96</v>
      </c>
      <c r="V26" s="543" t="s">
        <v>73</v>
      </c>
      <c r="W26" s="543" t="s">
        <v>68</v>
      </c>
      <c r="X26" s="543" t="s">
        <v>62</v>
      </c>
      <c r="Y26" s="543" t="s">
        <v>55</v>
      </c>
      <c r="Z26" s="543" t="s">
        <v>47</v>
      </c>
      <c r="AA26" s="543" t="s">
        <v>38</v>
      </c>
      <c r="AB26" s="560" t="s">
        <v>30</v>
      </c>
      <c r="AD26" s="601" t="s">
        <v>77</v>
      </c>
      <c r="AE26" s="602" t="s">
        <v>17</v>
      </c>
      <c r="AF26" s="602" t="s">
        <v>2</v>
      </c>
      <c r="AG26" s="602" t="s">
        <v>97</v>
      </c>
      <c r="AH26" s="602" t="s">
        <v>92</v>
      </c>
      <c r="AI26" s="602" t="s">
        <v>96</v>
      </c>
      <c r="AJ26" s="559" t="s">
        <v>73</v>
      </c>
      <c r="AK26" s="610" t="s">
        <v>68</v>
      </c>
      <c r="AL26" s="543" t="s">
        <v>62</v>
      </c>
      <c r="AM26" s="543" t="s">
        <v>55</v>
      </c>
      <c r="AN26" s="543" t="s">
        <v>47</v>
      </c>
      <c r="AO26" s="543" t="s">
        <v>38</v>
      </c>
      <c r="AP26" s="560" t="s">
        <v>30</v>
      </c>
    </row>
    <row r="27" spans="1:42" ht="15" customHeight="1">
      <c r="A27" s="58"/>
      <c r="B27" s="599" t="s">
        <v>78</v>
      </c>
      <c r="C27" s="602" t="s">
        <v>18</v>
      </c>
      <c r="D27" s="559" t="s">
        <v>93</v>
      </c>
      <c r="E27" s="596" t="s">
        <v>3</v>
      </c>
      <c r="F27" s="606" t="s">
        <v>91</v>
      </c>
      <c r="G27" s="543" t="s">
        <v>90</v>
      </c>
      <c r="H27" s="543" t="s">
        <v>74</v>
      </c>
      <c r="I27" s="543" t="s">
        <v>69</v>
      </c>
      <c r="J27" s="543" t="s">
        <v>63</v>
      </c>
      <c r="K27" s="543" t="s">
        <v>56</v>
      </c>
      <c r="L27" s="543" t="s">
        <v>48</v>
      </c>
      <c r="M27" s="543" t="s">
        <v>39</v>
      </c>
      <c r="N27" s="560" t="s">
        <v>28</v>
      </c>
      <c r="P27" s="600" t="s">
        <v>78</v>
      </c>
      <c r="Q27" s="590" t="s">
        <v>18</v>
      </c>
      <c r="R27" s="559" t="s">
        <v>93</v>
      </c>
      <c r="S27" s="590" t="s">
        <v>3</v>
      </c>
      <c r="T27" s="602" t="s">
        <v>91</v>
      </c>
      <c r="U27" s="543" t="s">
        <v>90</v>
      </c>
      <c r="V27" s="543" t="s">
        <v>74</v>
      </c>
      <c r="W27" s="543" t="s">
        <v>69</v>
      </c>
      <c r="X27" s="543" t="s">
        <v>63</v>
      </c>
      <c r="Y27" s="543" t="s">
        <v>56</v>
      </c>
      <c r="Z27" s="543" t="s">
        <v>48</v>
      </c>
      <c r="AA27" s="543" t="s">
        <v>39</v>
      </c>
      <c r="AB27" s="560" t="s">
        <v>28</v>
      </c>
      <c r="AD27" s="601" t="s">
        <v>78</v>
      </c>
      <c r="AE27" s="602" t="s">
        <v>18</v>
      </c>
      <c r="AF27" s="602" t="s">
        <v>93</v>
      </c>
      <c r="AG27" s="602" t="s">
        <v>3</v>
      </c>
      <c r="AH27" s="602" t="s">
        <v>91</v>
      </c>
      <c r="AI27" s="559" t="s">
        <v>90</v>
      </c>
      <c r="AJ27" s="610" t="s">
        <v>74</v>
      </c>
      <c r="AK27" s="543" t="s">
        <v>69</v>
      </c>
      <c r="AL27" s="543" t="s">
        <v>63</v>
      </c>
      <c r="AM27" s="543" t="s">
        <v>56</v>
      </c>
      <c r="AN27" s="543" t="s">
        <v>48</v>
      </c>
      <c r="AO27" s="543" t="s">
        <v>39</v>
      </c>
      <c r="AP27" s="560" t="s">
        <v>28</v>
      </c>
    </row>
    <row r="28" spans="1:42" s="7" customFormat="1" ht="15" customHeight="1">
      <c r="A28" s="94"/>
      <c r="B28" s="599" t="s">
        <v>79</v>
      </c>
      <c r="C28" s="559" t="s">
        <v>98</v>
      </c>
      <c r="D28" s="543" t="s">
        <v>99</v>
      </c>
      <c r="E28" s="543" t="s">
        <v>100</v>
      </c>
      <c r="F28" s="596" t="s">
        <v>4</v>
      </c>
      <c r="G28" s="543" t="s">
        <v>89</v>
      </c>
      <c r="H28" s="543" t="s">
        <v>75</v>
      </c>
      <c r="I28" s="543" t="s">
        <v>70</v>
      </c>
      <c r="J28" s="543" t="s">
        <v>64</v>
      </c>
      <c r="K28" s="543" t="s">
        <v>57</v>
      </c>
      <c r="L28" s="543" t="s">
        <v>49</v>
      </c>
      <c r="M28" s="543" t="s">
        <v>40</v>
      </c>
      <c r="N28" s="560" t="s">
        <v>29</v>
      </c>
      <c r="P28" s="600" t="s">
        <v>79</v>
      </c>
      <c r="Q28" s="602" t="s">
        <v>98</v>
      </c>
      <c r="R28" s="559" t="s">
        <v>99</v>
      </c>
      <c r="S28" s="543" t="s">
        <v>100</v>
      </c>
      <c r="T28" s="590" t="s">
        <v>4</v>
      </c>
      <c r="U28" s="543" t="s">
        <v>89</v>
      </c>
      <c r="V28" s="543" t="s">
        <v>75</v>
      </c>
      <c r="W28" s="543" t="s">
        <v>70</v>
      </c>
      <c r="X28" s="543" t="s">
        <v>64</v>
      </c>
      <c r="Y28" s="543" t="s">
        <v>57</v>
      </c>
      <c r="Z28" s="543" t="s">
        <v>49</v>
      </c>
      <c r="AA28" s="543" t="s">
        <v>40</v>
      </c>
      <c r="AB28" s="560" t="s">
        <v>29</v>
      </c>
      <c r="AD28" s="601" t="s">
        <v>79</v>
      </c>
      <c r="AE28" s="602" t="s">
        <v>98</v>
      </c>
      <c r="AF28" s="602" t="s">
        <v>99</v>
      </c>
      <c r="AG28" s="559" t="s">
        <v>100</v>
      </c>
      <c r="AH28" s="602" t="s">
        <v>4</v>
      </c>
      <c r="AI28" s="559" t="s">
        <v>89</v>
      </c>
      <c r="AJ28" s="543" t="s">
        <v>75</v>
      </c>
      <c r="AK28" s="543" t="s">
        <v>70</v>
      </c>
      <c r="AL28" s="543" t="s">
        <v>64</v>
      </c>
      <c r="AM28" s="543" t="s">
        <v>57</v>
      </c>
      <c r="AN28" s="543" t="s">
        <v>49</v>
      </c>
      <c r="AO28" s="543" t="s">
        <v>40</v>
      </c>
      <c r="AP28" s="560" t="s">
        <v>29</v>
      </c>
    </row>
    <row r="29" spans="1:42" s="7" customFormat="1" ht="15" customHeight="1">
      <c r="A29" s="94"/>
      <c r="B29" s="599" t="s">
        <v>80</v>
      </c>
      <c r="C29" s="543" t="s">
        <v>101</v>
      </c>
      <c r="D29" s="543" t="s">
        <v>109</v>
      </c>
      <c r="E29" s="543" t="s">
        <v>117</v>
      </c>
      <c r="F29" s="543" t="s">
        <v>125</v>
      </c>
      <c r="G29" s="596">
        <v>99</v>
      </c>
      <c r="H29" s="543" t="s">
        <v>88</v>
      </c>
      <c r="I29" s="543" t="s">
        <v>71</v>
      </c>
      <c r="J29" s="543" t="s">
        <v>65</v>
      </c>
      <c r="K29" s="543" t="s">
        <v>58</v>
      </c>
      <c r="L29" s="543" t="s">
        <v>50</v>
      </c>
      <c r="M29" s="543" t="s">
        <v>41</v>
      </c>
      <c r="N29" s="560" t="s">
        <v>31</v>
      </c>
      <c r="P29" s="600" t="s">
        <v>80</v>
      </c>
      <c r="Q29" s="559" t="s">
        <v>101</v>
      </c>
      <c r="R29" s="543" t="s">
        <v>109</v>
      </c>
      <c r="S29" s="543" t="s">
        <v>117</v>
      </c>
      <c r="T29" s="543" t="s">
        <v>125</v>
      </c>
      <c r="U29" s="590">
        <v>99</v>
      </c>
      <c r="V29" s="543" t="s">
        <v>88</v>
      </c>
      <c r="W29" s="543" t="s">
        <v>71</v>
      </c>
      <c r="X29" s="543" t="s">
        <v>65</v>
      </c>
      <c r="Y29" s="543" t="s">
        <v>58</v>
      </c>
      <c r="Z29" s="543" t="s">
        <v>50</v>
      </c>
      <c r="AA29" s="543" t="s">
        <v>41</v>
      </c>
      <c r="AB29" s="560" t="s">
        <v>31</v>
      </c>
      <c r="AD29" s="601" t="s">
        <v>80</v>
      </c>
      <c r="AE29" s="602" t="s">
        <v>101</v>
      </c>
      <c r="AF29" s="616" t="s">
        <v>109</v>
      </c>
      <c r="AG29" s="543" t="s">
        <v>117</v>
      </c>
      <c r="AH29" s="543" t="s">
        <v>125</v>
      </c>
      <c r="AI29" s="602">
        <v>99</v>
      </c>
      <c r="AJ29" s="543" t="s">
        <v>88</v>
      </c>
      <c r="AK29" s="543" t="s">
        <v>71</v>
      </c>
      <c r="AL29" s="543" t="s">
        <v>65</v>
      </c>
      <c r="AM29" s="543" t="s">
        <v>58</v>
      </c>
      <c r="AN29" s="543" t="s">
        <v>50</v>
      </c>
      <c r="AO29" s="543" t="s">
        <v>41</v>
      </c>
      <c r="AP29" s="560" t="s">
        <v>31</v>
      </c>
    </row>
    <row r="30" spans="1:42" s="7" customFormat="1" ht="15" customHeight="1">
      <c r="A30" s="94"/>
      <c r="B30" s="600" t="s">
        <v>81</v>
      </c>
      <c r="C30" s="543" t="s">
        <v>102</v>
      </c>
      <c r="D30" s="543" t="s">
        <v>110</v>
      </c>
      <c r="E30" s="543" t="s">
        <v>118</v>
      </c>
      <c r="F30" s="543" t="s">
        <v>126</v>
      </c>
      <c r="G30" s="543" t="s">
        <v>133</v>
      </c>
      <c r="H30" s="596">
        <v>88</v>
      </c>
      <c r="I30" s="543" t="s">
        <v>72</v>
      </c>
      <c r="J30" s="543" t="s">
        <v>66</v>
      </c>
      <c r="K30" s="543" t="s">
        <v>59</v>
      </c>
      <c r="L30" s="543" t="s">
        <v>51</v>
      </c>
      <c r="M30" s="543" t="s">
        <v>42</v>
      </c>
      <c r="N30" s="560" t="s">
        <v>32</v>
      </c>
      <c r="P30" s="600" t="s">
        <v>81</v>
      </c>
      <c r="Q30" s="543" t="s">
        <v>102</v>
      </c>
      <c r="R30" s="543" t="s">
        <v>110</v>
      </c>
      <c r="S30" s="543" t="s">
        <v>118</v>
      </c>
      <c r="T30" s="543" t="s">
        <v>126</v>
      </c>
      <c r="U30" s="543" t="s">
        <v>133</v>
      </c>
      <c r="V30" s="590">
        <v>88</v>
      </c>
      <c r="W30" s="543" t="s">
        <v>72</v>
      </c>
      <c r="X30" s="543" t="s">
        <v>66</v>
      </c>
      <c r="Y30" s="543" t="s">
        <v>59</v>
      </c>
      <c r="Z30" s="543" t="s">
        <v>51</v>
      </c>
      <c r="AA30" s="543" t="s">
        <v>42</v>
      </c>
      <c r="AB30" s="560" t="s">
        <v>32</v>
      </c>
      <c r="AD30" s="601" t="s">
        <v>81</v>
      </c>
      <c r="AE30" s="559" t="s">
        <v>102</v>
      </c>
      <c r="AF30" s="543" t="s">
        <v>110</v>
      </c>
      <c r="AG30" s="543" t="s">
        <v>118</v>
      </c>
      <c r="AH30" s="543" t="s">
        <v>126</v>
      </c>
      <c r="AI30" s="543" t="s">
        <v>133</v>
      </c>
      <c r="AJ30" s="602">
        <v>88</v>
      </c>
      <c r="AK30" s="543" t="s">
        <v>72</v>
      </c>
      <c r="AL30" s="543" t="s">
        <v>66</v>
      </c>
      <c r="AM30" s="543" t="s">
        <v>59</v>
      </c>
      <c r="AN30" s="543" t="s">
        <v>51</v>
      </c>
      <c r="AO30" s="543" t="s">
        <v>42</v>
      </c>
      <c r="AP30" s="560" t="s">
        <v>32</v>
      </c>
    </row>
    <row r="31" spans="1:42" s="7" customFormat="1" ht="15" customHeight="1">
      <c r="A31" s="94"/>
      <c r="B31" s="601" t="s">
        <v>82</v>
      </c>
      <c r="C31" s="543" t="s">
        <v>103</v>
      </c>
      <c r="D31" s="543" t="s">
        <v>111</v>
      </c>
      <c r="E31" s="543" t="s">
        <v>119</v>
      </c>
      <c r="F31" s="543" t="s">
        <v>127</v>
      </c>
      <c r="G31" s="543" t="s">
        <v>134</v>
      </c>
      <c r="H31" s="543" t="s">
        <v>140</v>
      </c>
      <c r="I31" s="596">
        <v>77</v>
      </c>
      <c r="J31" s="543" t="s">
        <v>67</v>
      </c>
      <c r="K31" s="543" t="s">
        <v>60</v>
      </c>
      <c r="L31" s="543" t="s">
        <v>52</v>
      </c>
      <c r="M31" s="543" t="s">
        <v>43</v>
      </c>
      <c r="N31" s="560" t="s">
        <v>33</v>
      </c>
      <c r="P31" s="600" t="s">
        <v>82</v>
      </c>
      <c r="Q31" s="543" t="s">
        <v>103</v>
      </c>
      <c r="R31" s="543" t="s">
        <v>111</v>
      </c>
      <c r="S31" s="543" t="s">
        <v>119</v>
      </c>
      <c r="T31" s="543" t="s">
        <v>127</v>
      </c>
      <c r="U31" s="543" t="s">
        <v>134</v>
      </c>
      <c r="V31" s="543" t="s">
        <v>140</v>
      </c>
      <c r="W31" s="590">
        <v>77</v>
      </c>
      <c r="X31" s="543" t="s">
        <v>67</v>
      </c>
      <c r="Y31" s="543" t="s">
        <v>60</v>
      </c>
      <c r="Z31" s="543" t="s">
        <v>52</v>
      </c>
      <c r="AA31" s="543" t="s">
        <v>43</v>
      </c>
      <c r="AB31" s="560" t="s">
        <v>33</v>
      </c>
      <c r="AD31" s="601" t="s">
        <v>82</v>
      </c>
      <c r="AE31" s="559" t="s">
        <v>103</v>
      </c>
      <c r="AF31" s="543" t="s">
        <v>111</v>
      </c>
      <c r="AG31" s="543" t="s">
        <v>119</v>
      </c>
      <c r="AH31" s="543" t="s">
        <v>127</v>
      </c>
      <c r="AI31" s="543" t="s">
        <v>134</v>
      </c>
      <c r="AJ31" s="543" t="s">
        <v>140</v>
      </c>
      <c r="AK31" s="602">
        <v>77</v>
      </c>
      <c r="AL31" s="543" t="s">
        <v>67</v>
      </c>
      <c r="AM31" s="543" t="s">
        <v>60</v>
      </c>
      <c r="AN31" s="543" t="s">
        <v>52</v>
      </c>
      <c r="AO31" s="543" t="s">
        <v>43</v>
      </c>
      <c r="AP31" s="560" t="s">
        <v>33</v>
      </c>
    </row>
    <row r="32" spans="1:42" ht="15" customHeight="1">
      <c r="A32" s="58"/>
      <c r="B32" s="562" t="s">
        <v>83</v>
      </c>
      <c r="C32" s="543" t="s">
        <v>108</v>
      </c>
      <c r="D32" s="543" t="s">
        <v>112</v>
      </c>
      <c r="E32" s="543" t="s">
        <v>120</v>
      </c>
      <c r="F32" s="543" t="s">
        <v>128</v>
      </c>
      <c r="G32" s="543" t="s">
        <v>135</v>
      </c>
      <c r="H32" s="543" t="s">
        <v>141</v>
      </c>
      <c r="I32" s="543" t="s">
        <v>146</v>
      </c>
      <c r="J32" s="596">
        <v>66</v>
      </c>
      <c r="K32" s="543" t="s">
        <v>61</v>
      </c>
      <c r="L32" s="543" t="s">
        <v>53</v>
      </c>
      <c r="M32" s="543" t="s">
        <v>44</v>
      </c>
      <c r="N32" s="560" t="s">
        <v>34</v>
      </c>
      <c r="P32" s="601" t="s">
        <v>83</v>
      </c>
      <c r="Q32" s="543" t="s">
        <v>108</v>
      </c>
      <c r="R32" s="543" t="s">
        <v>112</v>
      </c>
      <c r="S32" s="543" t="s">
        <v>120</v>
      </c>
      <c r="T32" s="543" t="s">
        <v>128</v>
      </c>
      <c r="U32" s="543" t="s">
        <v>135</v>
      </c>
      <c r="V32" s="543" t="s">
        <v>141</v>
      </c>
      <c r="W32" s="543" t="s">
        <v>146</v>
      </c>
      <c r="X32" s="590">
        <v>66</v>
      </c>
      <c r="Y32" s="543" t="s">
        <v>61</v>
      </c>
      <c r="Z32" s="543" t="s">
        <v>53</v>
      </c>
      <c r="AA32" s="543" t="s">
        <v>44</v>
      </c>
      <c r="AB32" s="560" t="s">
        <v>34</v>
      </c>
      <c r="AD32" s="601" t="s">
        <v>83</v>
      </c>
      <c r="AE32" s="610" t="s">
        <v>108</v>
      </c>
      <c r="AF32" s="543" t="s">
        <v>112</v>
      </c>
      <c r="AG32" s="543" t="s">
        <v>120</v>
      </c>
      <c r="AH32" s="543" t="s">
        <v>128</v>
      </c>
      <c r="AI32" s="543" t="s">
        <v>135</v>
      </c>
      <c r="AJ32" s="543" t="s">
        <v>141</v>
      </c>
      <c r="AK32" s="543" t="s">
        <v>146</v>
      </c>
      <c r="AL32" s="602">
        <v>66</v>
      </c>
      <c r="AM32" s="543" t="s">
        <v>61</v>
      </c>
      <c r="AN32" s="543" t="s">
        <v>53</v>
      </c>
      <c r="AO32" s="543" t="s">
        <v>44</v>
      </c>
      <c r="AP32" s="560" t="s">
        <v>34</v>
      </c>
    </row>
    <row r="33" spans="1:42" ht="15" customHeight="1">
      <c r="A33" s="58"/>
      <c r="B33" s="562" t="s">
        <v>84</v>
      </c>
      <c r="C33" s="543" t="s">
        <v>104</v>
      </c>
      <c r="D33" s="543" t="s">
        <v>113</v>
      </c>
      <c r="E33" s="543" t="s">
        <v>121</v>
      </c>
      <c r="F33" s="543" t="s">
        <v>129</v>
      </c>
      <c r="G33" s="543" t="s">
        <v>136</v>
      </c>
      <c r="H33" s="543" t="s">
        <v>142</v>
      </c>
      <c r="I33" s="543" t="s">
        <v>147</v>
      </c>
      <c r="J33" s="543" t="s">
        <v>151</v>
      </c>
      <c r="K33" s="596">
        <v>55</v>
      </c>
      <c r="L33" s="543" t="s">
        <v>54</v>
      </c>
      <c r="M33" s="543" t="s">
        <v>45</v>
      </c>
      <c r="N33" s="560" t="s">
        <v>35</v>
      </c>
      <c r="P33" s="601" t="s">
        <v>84</v>
      </c>
      <c r="Q33" s="543" t="s">
        <v>104</v>
      </c>
      <c r="R33" s="543" t="s">
        <v>113</v>
      </c>
      <c r="S33" s="543" t="s">
        <v>121</v>
      </c>
      <c r="T33" s="543" t="s">
        <v>129</v>
      </c>
      <c r="U33" s="543" t="s">
        <v>136</v>
      </c>
      <c r="V33" s="543" t="s">
        <v>142</v>
      </c>
      <c r="W33" s="543" t="s">
        <v>147</v>
      </c>
      <c r="X33" s="543" t="s">
        <v>151</v>
      </c>
      <c r="Y33" s="590">
        <v>55</v>
      </c>
      <c r="Z33" s="543" t="s">
        <v>54</v>
      </c>
      <c r="AA33" s="543" t="s">
        <v>45</v>
      </c>
      <c r="AB33" s="560" t="s">
        <v>35</v>
      </c>
      <c r="AD33" s="601" t="s">
        <v>84</v>
      </c>
      <c r="AE33" s="610" t="s">
        <v>104</v>
      </c>
      <c r="AF33" s="543" t="s">
        <v>113</v>
      </c>
      <c r="AG33" s="543" t="s">
        <v>121</v>
      </c>
      <c r="AH33" s="543" t="s">
        <v>129</v>
      </c>
      <c r="AI33" s="543" t="s">
        <v>136</v>
      </c>
      <c r="AJ33" s="543" t="s">
        <v>142</v>
      </c>
      <c r="AK33" s="543" t="s">
        <v>147</v>
      </c>
      <c r="AL33" s="543" t="s">
        <v>151</v>
      </c>
      <c r="AM33" s="602">
        <v>55</v>
      </c>
      <c r="AN33" s="543" t="s">
        <v>54</v>
      </c>
      <c r="AO33" s="543" t="s">
        <v>45</v>
      </c>
      <c r="AP33" s="560" t="s">
        <v>35</v>
      </c>
    </row>
    <row r="34" spans="1:42" ht="15" customHeight="1">
      <c r="A34" s="58"/>
      <c r="B34" s="611" t="s">
        <v>85</v>
      </c>
      <c r="C34" s="543" t="s">
        <v>105</v>
      </c>
      <c r="D34" s="543" t="s">
        <v>114</v>
      </c>
      <c r="E34" s="543" t="s">
        <v>122</v>
      </c>
      <c r="F34" s="543" t="s">
        <v>130</v>
      </c>
      <c r="G34" s="543" t="s">
        <v>137</v>
      </c>
      <c r="H34" s="543" t="s">
        <v>143</v>
      </c>
      <c r="I34" s="543" t="s">
        <v>148</v>
      </c>
      <c r="J34" s="543" t="s">
        <v>152</v>
      </c>
      <c r="K34" s="543" t="s">
        <v>155</v>
      </c>
      <c r="L34" s="596">
        <v>44</v>
      </c>
      <c r="M34" s="543" t="s">
        <v>46</v>
      </c>
      <c r="N34" s="560" t="s">
        <v>36</v>
      </c>
      <c r="P34" s="562" t="s">
        <v>85</v>
      </c>
      <c r="Q34" s="543" t="s">
        <v>105</v>
      </c>
      <c r="R34" s="543" t="s">
        <v>114</v>
      </c>
      <c r="S34" s="543" t="s">
        <v>122</v>
      </c>
      <c r="T34" s="543" t="s">
        <v>130</v>
      </c>
      <c r="U34" s="543" t="s">
        <v>137</v>
      </c>
      <c r="V34" s="543" t="s">
        <v>143</v>
      </c>
      <c r="W34" s="543" t="s">
        <v>148</v>
      </c>
      <c r="X34" s="543" t="s">
        <v>152</v>
      </c>
      <c r="Y34" s="543" t="s">
        <v>155</v>
      </c>
      <c r="Z34" s="590">
        <v>44</v>
      </c>
      <c r="AA34" s="543" t="s">
        <v>46</v>
      </c>
      <c r="AB34" s="560" t="s">
        <v>36</v>
      </c>
      <c r="AD34" s="601" t="s">
        <v>85</v>
      </c>
      <c r="AE34" s="543" t="s">
        <v>105</v>
      </c>
      <c r="AF34" s="543" t="s">
        <v>114</v>
      </c>
      <c r="AG34" s="543" t="s">
        <v>122</v>
      </c>
      <c r="AH34" s="543" t="s">
        <v>130</v>
      </c>
      <c r="AI34" s="543" t="s">
        <v>137</v>
      </c>
      <c r="AJ34" s="543" t="s">
        <v>143</v>
      </c>
      <c r="AK34" s="543" t="s">
        <v>148</v>
      </c>
      <c r="AL34" s="543" t="s">
        <v>152</v>
      </c>
      <c r="AM34" s="543" t="s">
        <v>155</v>
      </c>
      <c r="AN34" s="602">
        <v>44</v>
      </c>
      <c r="AO34" s="543" t="s">
        <v>46</v>
      </c>
      <c r="AP34" s="560" t="s">
        <v>36</v>
      </c>
    </row>
    <row r="35" spans="1:42" ht="15" customHeight="1">
      <c r="A35" s="58"/>
      <c r="B35" s="563" t="s">
        <v>86</v>
      </c>
      <c r="C35" s="543" t="s">
        <v>106</v>
      </c>
      <c r="D35" s="543" t="s">
        <v>115</v>
      </c>
      <c r="E35" s="543" t="s">
        <v>123</v>
      </c>
      <c r="F35" s="543" t="s">
        <v>131</v>
      </c>
      <c r="G35" s="543" t="s">
        <v>138</v>
      </c>
      <c r="H35" s="543" t="s">
        <v>144</v>
      </c>
      <c r="I35" s="543" t="s">
        <v>149</v>
      </c>
      <c r="J35" s="543" t="s">
        <v>153</v>
      </c>
      <c r="K35" s="543" t="s">
        <v>156</v>
      </c>
      <c r="L35" s="543" t="s">
        <v>158</v>
      </c>
      <c r="M35" s="602">
        <v>33</v>
      </c>
      <c r="N35" s="560" t="s">
        <v>37</v>
      </c>
      <c r="P35" s="562" t="s">
        <v>86</v>
      </c>
      <c r="Q35" s="543" t="s">
        <v>106</v>
      </c>
      <c r="R35" s="543" t="s">
        <v>115</v>
      </c>
      <c r="S35" s="543" t="s">
        <v>123</v>
      </c>
      <c r="T35" s="543" t="s">
        <v>131</v>
      </c>
      <c r="U35" s="543" t="s">
        <v>138</v>
      </c>
      <c r="V35" s="543" t="s">
        <v>144</v>
      </c>
      <c r="W35" s="543" t="s">
        <v>149</v>
      </c>
      <c r="X35" s="543" t="s">
        <v>153</v>
      </c>
      <c r="Y35" s="543" t="s">
        <v>156</v>
      </c>
      <c r="Z35" s="543" t="s">
        <v>158</v>
      </c>
      <c r="AA35" s="543">
        <v>33</v>
      </c>
      <c r="AB35" s="560" t="s">
        <v>37</v>
      </c>
      <c r="AD35" s="601" t="s">
        <v>86</v>
      </c>
      <c r="AE35" s="543" t="s">
        <v>106</v>
      </c>
      <c r="AF35" s="543" t="s">
        <v>115</v>
      </c>
      <c r="AG35" s="543" t="s">
        <v>123</v>
      </c>
      <c r="AH35" s="543" t="s">
        <v>131</v>
      </c>
      <c r="AI35" s="543" t="s">
        <v>138</v>
      </c>
      <c r="AJ35" s="543" t="s">
        <v>144</v>
      </c>
      <c r="AK35" s="543" t="s">
        <v>149</v>
      </c>
      <c r="AL35" s="543" t="s">
        <v>153</v>
      </c>
      <c r="AM35" s="543" t="s">
        <v>156</v>
      </c>
      <c r="AN35" s="543" t="s">
        <v>158</v>
      </c>
      <c r="AO35" s="602">
        <v>33</v>
      </c>
      <c r="AP35" s="560" t="s">
        <v>37</v>
      </c>
    </row>
    <row r="36" spans="1:42" ht="15" customHeight="1" thickBot="1">
      <c r="A36" s="58"/>
      <c r="B36" s="565" t="s">
        <v>87</v>
      </c>
      <c r="C36" s="566" t="s">
        <v>107</v>
      </c>
      <c r="D36" s="566" t="s">
        <v>116</v>
      </c>
      <c r="E36" s="566" t="s">
        <v>124</v>
      </c>
      <c r="F36" s="566" t="s">
        <v>132</v>
      </c>
      <c r="G36" s="566" t="s">
        <v>139</v>
      </c>
      <c r="H36" s="566" t="s">
        <v>145</v>
      </c>
      <c r="I36" s="566" t="s">
        <v>150</v>
      </c>
      <c r="J36" s="566" t="s">
        <v>154</v>
      </c>
      <c r="K36" s="566" t="s">
        <v>157</v>
      </c>
      <c r="L36" s="566" t="s">
        <v>160</v>
      </c>
      <c r="M36" s="566" t="s">
        <v>159</v>
      </c>
      <c r="N36" s="605">
        <v>22</v>
      </c>
      <c r="P36" s="609" t="s">
        <v>87</v>
      </c>
      <c r="Q36" s="566" t="s">
        <v>107</v>
      </c>
      <c r="R36" s="566" t="s">
        <v>116</v>
      </c>
      <c r="S36" s="566" t="s">
        <v>124</v>
      </c>
      <c r="T36" s="566" t="s">
        <v>132</v>
      </c>
      <c r="U36" s="566" t="s">
        <v>139</v>
      </c>
      <c r="V36" s="566" t="s">
        <v>145</v>
      </c>
      <c r="W36" s="566" t="s">
        <v>150</v>
      </c>
      <c r="X36" s="566" t="s">
        <v>154</v>
      </c>
      <c r="Y36" s="566" t="s">
        <v>157</v>
      </c>
      <c r="Z36" s="566" t="s">
        <v>160</v>
      </c>
      <c r="AA36" s="566" t="s">
        <v>159</v>
      </c>
      <c r="AB36" s="567">
        <v>22</v>
      </c>
      <c r="AD36" s="613" t="s">
        <v>87</v>
      </c>
      <c r="AE36" s="566" t="s">
        <v>107</v>
      </c>
      <c r="AF36" s="566" t="s">
        <v>116</v>
      </c>
      <c r="AG36" s="566" t="s">
        <v>124</v>
      </c>
      <c r="AH36" s="566" t="s">
        <v>132</v>
      </c>
      <c r="AI36" s="566" t="s">
        <v>139</v>
      </c>
      <c r="AJ36" s="566" t="s">
        <v>145</v>
      </c>
      <c r="AK36" s="566" t="s">
        <v>150</v>
      </c>
      <c r="AL36" s="566" t="s">
        <v>154</v>
      </c>
      <c r="AM36" s="566" t="s">
        <v>157</v>
      </c>
      <c r="AN36" s="566" t="s">
        <v>160</v>
      </c>
      <c r="AO36" s="566" t="s">
        <v>159</v>
      </c>
      <c r="AP36" s="614">
        <v>22</v>
      </c>
    </row>
    <row r="37" spans="1:42" ht="15" customHeight="1">
      <c r="A37" s="58"/>
    </row>
    <row r="38" spans="1:42" ht="15" customHeight="1">
      <c r="A38" s="58"/>
    </row>
    <row r="39" spans="1:42" ht="15" customHeight="1">
      <c r="A39" s="58"/>
    </row>
    <row r="40" spans="1:42" ht="15" customHeight="1">
      <c r="A40" s="58"/>
    </row>
    <row r="41" spans="1:42">
      <c r="A41" s="58"/>
    </row>
    <row r="42" spans="1:42">
      <c r="A42" s="58"/>
      <c r="O42" s="58"/>
      <c r="P42" s="91"/>
      <c r="Q42" s="91"/>
    </row>
    <row r="43" spans="1:42">
      <c r="A43" s="58"/>
      <c r="O43" s="58"/>
      <c r="P43" s="91"/>
      <c r="Q43" s="91"/>
    </row>
    <row r="44" spans="1:42">
      <c r="A44" s="58"/>
      <c r="O44" s="58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</row>
    <row r="45" spans="1:42">
      <c r="A45" s="58"/>
      <c r="O45" s="58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</row>
    <row r="46" spans="1:42">
      <c r="A46" s="58"/>
      <c r="O46" s="58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42">
      <c r="A47" s="58"/>
      <c r="O47" s="58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42">
      <c r="A48" s="58"/>
      <c r="B48" s="91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58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>
      <c r="A49" s="58"/>
      <c r="B49" s="91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58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41.25" customHeight="1">
      <c r="A50" s="58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58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</row>
    <row r="51" spans="1:27">
      <c r="A51" s="58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58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</row>
    <row r="52" spans="1:27" ht="40.5" customHeight="1">
      <c r="A52" s="58"/>
      <c r="B52" s="807"/>
      <c r="C52" s="807"/>
      <c r="D52" s="807"/>
      <c r="E52" s="807"/>
      <c r="F52" s="807"/>
      <c r="G52" s="807"/>
      <c r="H52" s="807"/>
      <c r="I52" s="807"/>
      <c r="J52" s="807"/>
      <c r="K52" s="807"/>
      <c r="L52" s="807"/>
      <c r="M52" s="807"/>
      <c r="N52" s="807"/>
      <c r="O52" s="58"/>
      <c r="P52" s="807"/>
      <c r="Q52" s="807"/>
      <c r="R52" s="807"/>
      <c r="S52" s="807"/>
      <c r="T52" s="807"/>
      <c r="U52" s="807"/>
      <c r="V52" s="807"/>
      <c r="W52" s="807"/>
      <c r="X52" s="807"/>
      <c r="Y52" s="807"/>
      <c r="Z52" s="807"/>
      <c r="AA52" s="807"/>
    </row>
    <row r="53" spans="1:27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</row>
    <row r="54" spans="1:27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</row>
    <row r="55" spans="1:27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</row>
  </sheetData>
  <mergeCells count="11">
    <mergeCell ref="AD8:AP8"/>
    <mergeCell ref="B23:N23"/>
    <mergeCell ref="P23:AB23"/>
    <mergeCell ref="AD23:AP23"/>
    <mergeCell ref="Z4:AB4"/>
    <mergeCell ref="Z5:AB5"/>
    <mergeCell ref="B52:N52"/>
    <mergeCell ref="P52:AA52"/>
    <mergeCell ref="B2:G3"/>
    <mergeCell ref="B8:N8"/>
    <mergeCell ref="P8:AB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VolRBB">
                <anchor moveWithCells="1" sizeWithCells="1">
                  <from>
                    <xdr:col>3</xdr:col>
                    <xdr:colOff>276225</xdr:colOff>
                    <xdr:row>1</xdr:row>
                    <xdr:rowOff>47625</xdr:rowOff>
                  </from>
                  <to>
                    <xdr:col>6</xdr:col>
                    <xdr:colOff>85725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ilha13"/>
  <dimension ref="A1:AT54"/>
  <sheetViews>
    <sheetView showGridLines="0" showRowColHeaders="0" workbookViewId="0">
      <selection activeCell="C3" sqref="C3:O16"/>
    </sheetView>
  </sheetViews>
  <sheetFormatPr defaultRowHeight="15"/>
  <cols>
    <col min="1" max="1" width="5.7109375" customWidth="1"/>
    <col min="2" max="17" width="4.7109375" customWidth="1"/>
    <col min="18" max="23" width="5.7109375" customWidth="1"/>
    <col min="24" max="28" width="4.28515625" bestFit="1" customWidth="1"/>
    <col min="29" max="29" width="3.5703125" customWidth="1"/>
    <col min="30" max="30" width="4.85546875" bestFit="1" customWidth="1"/>
    <col min="31" max="31" width="4.7109375" bestFit="1" customWidth="1"/>
    <col min="32" max="32" width="4.5703125" bestFit="1" customWidth="1"/>
    <col min="33" max="33" width="4" bestFit="1" customWidth="1"/>
    <col min="34" max="42" width="4.28515625" bestFit="1" customWidth="1"/>
    <col min="43" max="43" width="3" customWidth="1"/>
    <col min="44" max="44" width="4.85546875" bestFit="1" customWidth="1"/>
    <col min="45" max="45" width="4.7109375" bestFit="1" customWidth="1"/>
    <col min="46" max="46" width="4.5703125" bestFit="1" customWidth="1"/>
    <col min="47" max="47" width="4" bestFit="1" customWidth="1"/>
    <col min="48" max="56" width="4.28515625" bestFit="1" customWidth="1"/>
    <col min="57" max="57" width="4.140625" customWidth="1"/>
    <col min="58" max="58" width="4.85546875" bestFit="1" customWidth="1"/>
    <col min="59" max="59" width="4.7109375" bestFit="1" customWidth="1"/>
    <col min="60" max="60" width="4.5703125" bestFit="1" customWidth="1"/>
    <col min="61" max="61" width="4" bestFit="1" customWidth="1"/>
    <col min="62" max="70" width="4.28515625" bestFit="1" customWidth="1"/>
  </cols>
  <sheetData>
    <row r="1" spans="1:46" ht="15" customHeight="1">
      <c r="A1" s="43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43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43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43"/>
      <c r="AR1" s="43"/>
      <c r="AS1" s="43"/>
      <c r="AT1" s="43"/>
    </row>
    <row r="2" spans="1:46" ht="15" customHeight="1">
      <c r="A2" s="43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43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43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43"/>
      <c r="AR2" s="43"/>
      <c r="AS2" s="43"/>
      <c r="AT2" s="43"/>
    </row>
    <row r="3" spans="1:46" ht="15" customHeight="1">
      <c r="A3" s="43"/>
      <c r="B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43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43"/>
      <c r="AR3" s="43"/>
      <c r="AS3" s="43"/>
      <c r="AT3" s="43"/>
    </row>
    <row r="4" spans="1:46" ht="15" customHeight="1">
      <c r="A4" s="43"/>
      <c r="B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43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43"/>
      <c r="AR4" s="43"/>
      <c r="AS4" s="43"/>
      <c r="AT4" s="43"/>
    </row>
    <row r="5" spans="1:46" ht="15" customHeight="1">
      <c r="A5" s="43"/>
      <c r="B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43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43"/>
      <c r="AR5" s="43"/>
      <c r="AS5" s="43"/>
      <c r="AT5" s="43"/>
    </row>
    <row r="6" spans="1:46" ht="15" customHeight="1">
      <c r="A6" s="43"/>
      <c r="B6" s="59"/>
      <c r="P6" s="59"/>
      <c r="Q6" s="59"/>
      <c r="R6" s="59"/>
      <c r="S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43"/>
      <c r="AR6" s="43"/>
      <c r="AS6" s="43"/>
      <c r="AT6" s="43"/>
    </row>
    <row r="7" spans="1:46" ht="15" customHeight="1">
      <c r="A7" s="43"/>
      <c r="B7" s="59"/>
      <c r="P7" s="59"/>
      <c r="Q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43"/>
      <c r="AR7" s="43"/>
      <c r="AS7" s="43"/>
      <c r="AT7" s="43"/>
    </row>
    <row r="8" spans="1:46" ht="15" customHeight="1">
      <c r="A8" s="43"/>
      <c r="B8" s="59"/>
      <c r="P8" s="59"/>
      <c r="Q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43"/>
      <c r="AR8" s="43"/>
      <c r="AS8" s="43"/>
      <c r="AT8" s="43"/>
    </row>
    <row r="9" spans="1:46" ht="15" customHeight="1">
      <c r="A9" s="43"/>
      <c r="B9" s="59"/>
      <c r="P9" s="59"/>
      <c r="Q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43"/>
      <c r="AR9" s="43"/>
      <c r="AS9" s="43"/>
      <c r="AT9" s="43"/>
    </row>
    <row r="10" spans="1:46" ht="15" customHeight="1">
      <c r="A10" s="43"/>
      <c r="B10" s="59"/>
      <c r="P10" s="59"/>
      <c r="Q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43"/>
      <c r="AR10" s="43"/>
      <c r="AS10" s="43"/>
      <c r="AT10" s="43"/>
    </row>
    <row r="11" spans="1:46" ht="15" customHeight="1">
      <c r="A11" s="43"/>
      <c r="B11" s="59"/>
      <c r="P11" s="59"/>
      <c r="Q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43"/>
      <c r="AR11" s="43"/>
      <c r="AS11" s="43"/>
      <c r="AT11" s="43"/>
    </row>
    <row r="12" spans="1:46" ht="15" customHeight="1">
      <c r="A12" s="43"/>
      <c r="B12" s="59"/>
      <c r="P12" s="59"/>
      <c r="Q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43"/>
      <c r="AR12" s="43"/>
      <c r="AS12" s="43"/>
      <c r="AT12" s="43"/>
    </row>
    <row r="13" spans="1:46" ht="15" customHeight="1">
      <c r="A13" s="43"/>
      <c r="B13" s="59"/>
      <c r="P13" s="59"/>
      <c r="Q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43"/>
      <c r="AR13" s="43"/>
      <c r="AS13" s="43"/>
      <c r="AT13" s="43"/>
    </row>
    <row r="14" spans="1:46" ht="15" customHeight="1">
      <c r="A14" s="43"/>
      <c r="B14" s="59"/>
      <c r="P14" s="59"/>
      <c r="Q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43"/>
      <c r="AR14" s="43"/>
      <c r="AS14" s="43"/>
      <c r="AT14" s="43"/>
    </row>
    <row r="15" spans="1:46" ht="15" customHeight="1">
      <c r="A15" s="43"/>
      <c r="B15" s="59"/>
      <c r="P15" s="59"/>
      <c r="Q15" s="108"/>
      <c r="R15" s="108"/>
      <c r="S15" s="108"/>
      <c r="AE15" s="108"/>
      <c r="AF15" s="108"/>
      <c r="AG15" s="108"/>
      <c r="AH15" s="108"/>
      <c r="AI15" s="108"/>
      <c r="AJ15" s="108"/>
      <c r="AK15" s="108"/>
      <c r="AL15" s="108"/>
      <c r="AM15" s="108"/>
      <c r="AN15" s="108"/>
      <c r="AO15" s="108"/>
      <c r="AP15" s="108"/>
      <c r="AQ15" s="43"/>
      <c r="AR15" s="43"/>
      <c r="AS15" s="43"/>
      <c r="AT15" s="43"/>
    </row>
    <row r="16" spans="1:46" ht="15" customHeight="1">
      <c r="A16" s="43"/>
      <c r="B16" s="59"/>
      <c r="P16" s="59"/>
      <c r="Q16" s="108"/>
      <c r="R16" s="108"/>
      <c r="S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43"/>
      <c r="AR16" s="43"/>
      <c r="AS16" s="43"/>
      <c r="AT16" s="43"/>
    </row>
    <row r="17" spans="1:46" ht="15" customHeight="1">
      <c r="A17" s="43"/>
      <c r="B17" s="59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43"/>
      <c r="P17" s="59"/>
      <c r="Q17" s="108"/>
      <c r="R17" s="108"/>
      <c r="S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43"/>
      <c r="AR17" s="43"/>
      <c r="AS17" s="43"/>
      <c r="AT17" s="43"/>
    </row>
    <row r="18" spans="1:46" ht="15" customHeight="1">
      <c r="A18" s="43"/>
      <c r="B18" s="59"/>
      <c r="C18" s="110"/>
      <c r="D18" s="814" t="s">
        <v>213</v>
      </c>
      <c r="E18" s="815"/>
      <c r="F18" s="815"/>
      <c r="G18" s="815"/>
      <c r="H18" s="815"/>
      <c r="I18" s="815"/>
      <c r="J18" s="815"/>
      <c r="K18" s="815"/>
      <c r="L18" s="815"/>
      <c r="M18" s="815"/>
      <c r="N18" s="815"/>
      <c r="O18" s="816"/>
      <c r="P18" s="59"/>
      <c r="Q18" s="108"/>
      <c r="R18" s="108"/>
      <c r="S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43"/>
      <c r="AR18" s="43"/>
      <c r="AS18" s="43"/>
      <c r="AT18" s="43"/>
    </row>
    <row r="19" spans="1:46" ht="15" customHeight="1">
      <c r="A19" s="43"/>
      <c r="B19" s="109"/>
      <c r="C19" s="98"/>
      <c r="D19" s="814" t="s">
        <v>214</v>
      </c>
      <c r="E19" s="815"/>
      <c r="F19" s="815"/>
      <c r="G19" s="815"/>
      <c r="H19" s="815"/>
      <c r="I19" s="815"/>
      <c r="J19" s="815"/>
      <c r="K19" s="815"/>
      <c r="L19" s="815"/>
      <c r="M19" s="815"/>
      <c r="N19" s="815"/>
      <c r="O19" s="816"/>
      <c r="AE19" s="109"/>
      <c r="AF19" s="109"/>
      <c r="AG19" s="109"/>
      <c r="AH19" s="109"/>
      <c r="AI19" s="109"/>
      <c r="AJ19" s="109"/>
      <c r="AK19" s="109"/>
      <c r="AL19" s="109"/>
      <c r="AM19" s="109"/>
      <c r="AN19" s="109"/>
      <c r="AO19" s="109"/>
      <c r="AP19" s="109"/>
      <c r="AQ19" s="43"/>
      <c r="AR19" s="43"/>
      <c r="AS19" s="43"/>
      <c r="AT19" s="43"/>
    </row>
    <row r="20" spans="1:46" ht="15" customHeight="1">
      <c r="A20" s="43"/>
      <c r="B20" s="109"/>
      <c r="C20" s="99"/>
      <c r="D20" s="814" t="s">
        <v>215</v>
      </c>
      <c r="E20" s="815"/>
      <c r="F20" s="815"/>
      <c r="G20" s="815"/>
      <c r="H20" s="815"/>
      <c r="I20" s="815"/>
      <c r="J20" s="815"/>
      <c r="K20" s="815"/>
      <c r="L20" s="815"/>
      <c r="M20" s="815"/>
      <c r="N20" s="815"/>
      <c r="O20" s="816"/>
      <c r="AE20" s="109"/>
      <c r="AF20" s="109"/>
      <c r="AG20" s="109"/>
      <c r="AH20" s="109"/>
      <c r="AI20" s="109"/>
      <c r="AJ20" s="109"/>
      <c r="AK20" s="109"/>
      <c r="AL20" s="109"/>
      <c r="AM20" s="109"/>
      <c r="AN20" s="109"/>
      <c r="AO20" s="109"/>
      <c r="AP20" s="109"/>
      <c r="AQ20" s="43"/>
      <c r="AR20" s="43"/>
      <c r="AS20" s="43"/>
      <c r="AT20" s="43"/>
    </row>
    <row r="21" spans="1:46" ht="15" customHeight="1">
      <c r="A21" s="43"/>
      <c r="B21" s="109"/>
      <c r="C21" s="97"/>
      <c r="D21" s="811" t="s">
        <v>162</v>
      </c>
      <c r="E21" s="812"/>
      <c r="F21" s="812"/>
      <c r="G21" s="812"/>
      <c r="H21" s="812"/>
      <c r="I21" s="812"/>
      <c r="J21" s="812"/>
      <c r="K21" s="812"/>
      <c r="L21" s="812"/>
      <c r="M21" s="812"/>
      <c r="N21" s="812"/>
      <c r="O21" s="813"/>
      <c r="Z21" s="109"/>
      <c r="AA21" s="109"/>
      <c r="AB21" s="109"/>
      <c r="AC21" s="43"/>
      <c r="AD21" s="109"/>
      <c r="AE21" s="109"/>
      <c r="AF21" s="109"/>
      <c r="AG21" s="109"/>
      <c r="AH21" s="109"/>
      <c r="AI21" s="109"/>
      <c r="AJ21" s="109"/>
      <c r="AK21" s="109"/>
      <c r="AL21" s="109"/>
      <c r="AM21" s="109"/>
      <c r="AN21" s="109"/>
      <c r="AO21" s="109"/>
      <c r="AP21" s="109"/>
      <c r="AQ21" s="43"/>
      <c r="AR21" s="43"/>
      <c r="AS21" s="43"/>
      <c r="AT21" s="43"/>
    </row>
    <row r="22" spans="1:46" ht="15" customHeight="1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</row>
    <row r="23" spans="1:46" ht="15" customHeight="1">
      <c r="A23" s="43"/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Z23" s="108"/>
      <c r="AA23" s="108"/>
      <c r="AB23" s="108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</row>
    <row r="24" spans="1:46">
      <c r="A24" s="43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Z24" s="59"/>
      <c r="AA24" s="59"/>
      <c r="AB24" s="59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</row>
    <row r="25" spans="1:46">
      <c r="A25" s="43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Z25" s="59"/>
      <c r="AA25" s="59"/>
      <c r="AB25" s="59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</row>
    <row r="26" spans="1:46">
      <c r="A26" s="43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Z26" s="59"/>
      <c r="AA26" s="59"/>
      <c r="AB26" s="59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</row>
    <row r="27" spans="1:46">
      <c r="A27" s="43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43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</row>
    <row r="28" spans="1:46">
      <c r="A28" s="43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43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</row>
    <row r="29" spans="1:46">
      <c r="A29" s="43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43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</row>
    <row r="30" spans="1:46">
      <c r="A30" s="43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43"/>
      <c r="P30" s="59"/>
      <c r="Q30" s="59"/>
      <c r="R30" s="59"/>
      <c r="S30" s="59"/>
      <c r="T30" s="59"/>
      <c r="U30" s="59"/>
      <c r="V30" s="59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</row>
    <row r="31" spans="1:46">
      <c r="A31" s="43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43"/>
      <c r="P31" s="59"/>
      <c r="Q31" s="59"/>
      <c r="R31" s="59"/>
      <c r="S31" s="59"/>
      <c r="T31" s="59"/>
      <c r="U31" s="59"/>
      <c r="V31" s="59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</row>
    <row r="32" spans="1:46">
      <c r="A32" s="43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43"/>
      <c r="P32" s="59"/>
      <c r="Q32" s="59"/>
      <c r="R32" s="59"/>
      <c r="S32" s="59"/>
      <c r="T32" s="59"/>
      <c r="U32" s="59"/>
      <c r="V32" s="59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</row>
    <row r="33" spans="1:46">
      <c r="A33" s="43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43"/>
      <c r="P33" s="59"/>
      <c r="Q33" s="59"/>
      <c r="R33" s="59"/>
      <c r="S33" s="59"/>
      <c r="T33" s="59"/>
      <c r="U33" s="59"/>
      <c r="V33" s="59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</row>
    <row r="34" spans="1:46">
      <c r="A34" s="43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43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</row>
    <row r="35" spans="1:46">
      <c r="A35" s="43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43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</row>
    <row r="36" spans="1:46">
      <c r="A36" s="43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43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</row>
    <row r="37" spans="1:46">
      <c r="A37" s="43"/>
      <c r="B37" s="59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43"/>
      <c r="P37" s="59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</row>
    <row r="38" spans="1:46">
      <c r="A38" s="43"/>
      <c r="B38" s="59"/>
      <c r="C38" s="108"/>
      <c r="D38" s="108"/>
      <c r="E38" s="108"/>
      <c r="F38" s="108"/>
      <c r="G38" s="108"/>
      <c r="H38" s="108"/>
      <c r="I38" s="108"/>
      <c r="J38" s="108"/>
      <c r="K38" s="108"/>
      <c r="L38" s="108"/>
      <c r="M38" s="108"/>
      <c r="N38" s="108"/>
      <c r="O38" s="43"/>
      <c r="P38" s="59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</row>
    <row r="39" spans="1:46">
      <c r="A39" s="43"/>
      <c r="B39" s="59"/>
      <c r="C39" s="108"/>
      <c r="D39" s="108"/>
      <c r="E39" s="108"/>
      <c r="F39" s="108"/>
      <c r="G39" s="108"/>
      <c r="H39" s="108"/>
      <c r="I39" s="108"/>
      <c r="J39" s="108"/>
      <c r="K39" s="108"/>
      <c r="L39" s="108"/>
      <c r="M39" s="108"/>
      <c r="N39" s="108"/>
      <c r="O39" s="43"/>
      <c r="P39" s="59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</row>
    <row r="40" spans="1:46">
      <c r="A40" s="43"/>
      <c r="B40" s="59"/>
      <c r="C40" s="108"/>
      <c r="D40" s="108"/>
      <c r="E40" s="108"/>
      <c r="F40" s="108"/>
      <c r="G40" s="108"/>
      <c r="H40" s="108"/>
      <c r="I40" s="108"/>
      <c r="J40" s="108"/>
      <c r="K40" s="108"/>
      <c r="L40" s="108"/>
      <c r="M40" s="108"/>
      <c r="N40" s="108"/>
      <c r="O40" s="43"/>
      <c r="P40" s="59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</row>
    <row r="41" spans="1:46" ht="32.25" customHeight="1">
      <c r="A41" s="43"/>
      <c r="B41" s="109"/>
      <c r="C41" s="109"/>
      <c r="D41" s="109"/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43"/>
      <c r="P41" s="109"/>
      <c r="Q41" s="109"/>
      <c r="R41" s="109"/>
      <c r="S41" s="109"/>
      <c r="T41" s="109"/>
      <c r="U41" s="109"/>
      <c r="V41" s="109"/>
      <c r="W41" s="109"/>
      <c r="X41" s="109"/>
      <c r="Y41" s="109"/>
      <c r="Z41" s="109"/>
      <c r="AA41" s="109"/>
      <c r="AB41" s="109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</row>
    <row r="42" spans="1:46" ht="30" customHeight="1">
      <c r="A42" s="43"/>
      <c r="B42" s="109"/>
      <c r="C42" s="109"/>
      <c r="D42" s="109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43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</row>
    <row r="43" spans="1:46" ht="30" customHeight="1">
      <c r="A43" s="43"/>
      <c r="B43" s="109"/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43"/>
      <c r="P43" s="109"/>
      <c r="Q43" s="109"/>
      <c r="R43" s="109"/>
      <c r="S43" s="109"/>
      <c r="T43" s="109"/>
      <c r="U43" s="109"/>
      <c r="V43" s="109"/>
      <c r="W43" s="109"/>
      <c r="X43" s="109"/>
      <c r="Y43" s="109"/>
      <c r="Z43" s="109"/>
      <c r="AA43" s="109"/>
      <c r="AB43" s="109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</row>
    <row r="44" spans="1:46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</row>
    <row r="45" spans="1:46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</row>
    <row r="46" spans="1:46">
      <c r="A46" s="58"/>
      <c r="B46" s="58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</row>
    <row r="47" spans="1:46">
      <c r="A47" s="58"/>
      <c r="B47" s="58"/>
      <c r="C47" s="58"/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6">
      <c r="A48" s="58"/>
      <c r="B48" s="58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58"/>
      <c r="AP51" s="58"/>
      <c r="AQ51" s="58"/>
      <c r="AR51" s="58"/>
      <c r="AS51" s="58"/>
    </row>
    <row r="52" spans="1:4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</row>
    <row r="53" spans="1:4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</row>
    <row r="54" spans="1:45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</row>
  </sheetData>
  <mergeCells count="4">
    <mergeCell ref="D21:O21"/>
    <mergeCell ref="D18:O18"/>
    <mergeCell ref="D19:O19"/>
    <mergeCell ref="D20:O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VolRSB">
                <anchor moveWithCells="1" sizeWithCells="1">
                  <from>
                    <xdr:col>18</xdr:col>
                    <xdr:colOff>95250</xdr:colOff>
                    <xdr:row>10</xdr:row>
                    <xdr:rowOff>171450</xdr:rowOff>
                  </from>
                  <to>
                    <xdr:col>21</xdr:col>
                    <xdr:colOff>171450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14"/>
  <dimension ref="A1:P54"/>
  <sheetViews>
    <sheetView showGridLines="0" showRowColHeaders="0" workbookViewId="0">
      <selection activeCell="B5" sqref="B5:AB41"/>
    </sheetView>
  </sheetViews>
  <sheetFormatPr defaultRowHeight="15"/>
  <cols>
    <col min="1" max="32" width="4.7109375" customWidth="1"/>
    <col min="33" max="33" width="4" bestFit="1" customWidth="1"/>
    <col min="34" max="42" width="4.28515625" bestFit="1" customWidth="1"/>
    <col min="43" max="43" width="3" customWidth="1"/>
    <col min="44" max="44" width="4.85546875" bestFit="1" customWidth="1"/>
    <col min="45" max="45" width="4.7109375" bestFit="1" customWidth="1"/>
    <col min="46" max="46" width="4.5703125" bestFit="1" customWidth="1"/>
    <col min="47" max="47" width="4" bestFit="1" customWidth="1"/>
    <col min="48" max="56" width="4.28515625" bestFit="1" customWidth="1"/>
  </cols>
  <sheetData>
    <row r="1" spans="1:16" ht="15.75" thickBot="1"/>
    <row r="2" spans="1:16">
      <c r="B2" s="652"/>
      <c r="C2" s="653"/>
      <c r="D2" s="653"/>
      <c r="E2" s="653"/>
      <c r="F2" s="653"/>
      <c r="G2" s="654"/>
    </row>
    <row r="3" spans="1:16" ht="15.75" thickBot="1">
      <c r="B3" s="655"/>
      <c r="C3" s="656"/>
      <c r="D3" s="656"/>
      <c r="E3" s="656"/>
      <c r="F3" s="656"/>
      <c r="G3" s="657"/>
    </row>
    <row r="11" spans="1:16" ht="15" customHeight="1">
      <c r="A11" s="43"/>
      <c r="B11" s="43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43"/>
    </row>
    <row r="12" spans="1:16" ht="15" customHeight="1">
      <c r="A12" s="43"/>
      <c r="B12" s="59"/>
    </row>
    <row r="13" spans="1:16" ht="15" customHeight="1">
      <c r="A13" s="43"/>
      <c r="B13" s="59"/>
    </row>
    <row r="14" spans="1:16" ht="15" customHeight="1">
      <c r="A14" s="43"/>
      <c r="B14" s="59"/>
    </row>
    <row r="15" spans="1:16" ht="15" customHeight="1">
      <c r="A15" s="43"/>
      <c r="B15" s="59"/>
    </row>
    <row r="16" spans="1:16" ht="15" customHeight="1">
      <c r="A16" s="43"/>
      <c r="B16" s="59"/>
    </row>
    <row r="17" spans="1:16" ht="15" customHeight="1">
      <c r="A17" s="43"/>
      <c r="B17" s="59"/>
    </row>
    <row r="18" spans="1:16" ht="15" customHeight="1">
      <c r="A18" s="43"/>
      <c r="B18" s="59"/>
    </row>
    <row r="19" spans="1:16" ht="15" customHeight="1">
      <c r="A19" s="43"/>
      <c r="B19" s="59"/>
    </row>
    <row r="20" spans="1:16" ht="15" customHeight="1">
      <c r="A20" s="43"/>
      <c r="B20" s="59"/>
    </row>
    <row r="21" spans="1:16" ht="15" customHeight="1">
      <c r="A21" s="43"/>
      <c r="B21" s="59"/>
    </row>
    <row r="22" spans="1:16" ht="15" customHeight="1">
      <c r="A22" s="43"/>
      <c r="B22" s="59"/>
    </row>
    <row r="23" spans="1:16" ht="15" customHeight="1">
      <c r="A23" s="43"/>
      <c r="B23" s="59"/>
    </row>
    <row r="24" spans="1:16" ht="15" customHeight="1">
      <c r="A24" s="43"/>
      <c r="B24" s="59"/>
    </row>
    <row r="25" spans="1:16" ht="15" customHeight="1">
      <c r="A25" s="43"/>
      <c r="B25" s="59"/>
    </row>
    <row r="26" spans="1:16" ht="15" customHeight="1">
      <c r="A26" s="43"/>
      <c r="B26" s="43"/>
      <c r="C26" s="59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43"/>
    </row>
    <row r="27" spans="1:16" ht="15" customHeight="1">
      <c r="A27" s="43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43"/>
    </row>
    <row r="28" spans="1:16" ht="15" customHeight="1">
      <c r="A28" s="43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43"/>
    </row>
    <row r="29" spans="1:16" ht="15" customHeight="1"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</row>
    <row r="30" spans="1:16" ht="15" customHeight="1"/>
    <row r="31" spans="1:16" ht="15" customHeight="1"/>
    <row r="32" spans="1:16" ht="15" customHeight="1"/>
    <row r="33" spans="2:14" ht="15" customHeight="1"/>
    <row r="34" spans="2:14" ht="15" customHeight="1"/>
    <row r="35" spans="2:14" ht="15" customHeight="1"/>
    <row r="36" spans="2:14" ht="15" customHeight="1"/>
    <row r="37" spans="2:14" ht="15" customHeight="1"/>
    <row r="38" spans="2:14" ht="15" customHeight="1"/>
    <row r="39" spans="2:14" ht="15" customHeight="1"/>
    <row r="40" spans="2:14" ht="15" customHeight="1"/>
    <row r="41" spans="2:14" ht="15" customHeight="1"/>
    <row r="42" spans="2:14"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</row>
    <row r="43" spans="2:14"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</row>
    <row r="44" spans="2:14"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</row>
    <row r="45" spans="2:14">
      <c r="B45" s="59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</row>
    <row r="46" spans="2:14">
      <c r="B46" s="59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</row>
    <row r="47" spans="2:14">
      <c r="B47" s="59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</row>
    <row r="48" spans="2:14">
      <c r="B48" s="59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</row>
    <row r="49" spans="2:14" ht="24" customHeight="1"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</row>
    <row r="50" spans="2:14"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</row>
    <row r="51" spans="2:14" ht="27.75" customHeight="1"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</row>
    <row r="52" spans="2:14"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</row>
    <row r="53" spans="2:14"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</row>
    <row r="54" spans="2:14"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</row>
  </sheetData>
  <mergeCells count="1">
    <mergeCell ref="B2:G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VolRBU">
                <anchor moveWithCells="1" sizeWithCells="1">
                  <from>
                    <xdr:col>3</xdr:col>
                    <xdr:colOff>247650</xdr:colOff>
                    <xdr:row>1</xdr:row>
                    <xdr:rowOff>66675</xdr:rowOff>
                  </from>
                  <to>
                    <xdr:col>6</xdr:col>
                    <xdr:colOff>9525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HOME</vt:lpstr>
      <vt:lpstr>Call Shove BB</vt:lpstr>
      <vt:lpstr>FlatSBvsEP</vt:lpstr>
      <vt:lpstr>FlatSBvsLP</vt:lpstr>
      <vt:lpstr>FlatBBvsEP</vt:lpstr>
      <vt:lpstr>FlatBBvsMP</vt:lpstr>
      <vt:lpstr>FlatBBvsLP</vt:lpstr>
      <vt:lpstr>3bet EPMP</vt:lpstr>
      <vt:lpstr>3bet BTNCO</vt:lpstr>
      <vt:lpstr>Call Res EP</vt:lpstr>
      <vt:lpstr>Call Res MP</vt:lpstr>
      <vt:lpstr>Call Res CO</vt:lpstr>
      <vt:lpstr>Call Res BU</vt:lpstr>
      <vt:lpstr>Call Shove SB</vt:lpstr>
      <vt:lpstr>Call Shove BTN</vt:lpstr>
      <vt:lpstr>Call Shove CO</vt:lpstr>
      <vt:lpstr>Call Shove MP</vt:lpstr>
      <vt:lpstr>3bet HJCO</vt:lpstr>
      <vt:lpstr>3bet BTN</vt:lpstr>
      <vt:lpstr>3bet BTNvsCO</vt:lpstr>
      <vt:lpstr>OR - EP</vt:lpstr>
      <vt:lpstr>OR - MP</vt:lpstr>
      <vt:lpstr>OR - HJ</vt:lpstr>
      <vt:lpstr>OR - CO</vt:lpstr>
      <vt:lpstr>OR - BU</vt:lpstr>
      <vt:lpstr>Shove EP</vt:lpstr>
      <vt:lpstr>Shove MP+HJ</vt:lpstr>
      <vt:lpstr>Shove CO</vt:lpstr>
      <vt:lpstr>Shove BU</vt:lpstr>
      <vt:lpstr>Resteal BB</vt:lpstr>
      <vt:lpstr>Resteal SB</vt:lpstr>
      <vt:lpstr>RESTEAL BU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 Oliveira</dc:creator>
  <cp:lastModifiedBy>DIEGO NOVELLO FERREIRA PIRES</cp:lastModifiedBy>
  <dcterms:created xsi:type="dcterms:W3CDTF">2018-09-17T14:48:26Z</dcterms:created>
  <dcterms:modified xsi:type="dcterms:W3CDTF">2024-08-20T01:32:53Z</dcterms:modified>
</cp:coreProperties>
</file>